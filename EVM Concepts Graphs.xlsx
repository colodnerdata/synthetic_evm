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doe-my.sharepoint.com/personal/stephen_colodner_nnsa_doe_gov/Documents/Documents/Tools/SHBM/"/>
    </mc:Choice>
  </mc:AlternateContent>
  <xr:revisionPtr revIDLastSave="2166" documentId="8_{6A758432-9F71-4D9F-9E4B-F22D920CCC4F}" xr6:coauthVersionLast="47" xr6:coauthVersionMax="47" xr10:uidLastSave="{19FABFF3-43BA-4B14-A9BB-E3282DF81990}"/>
  <bookViews>
    <workbookView xWindow="-120" yWindow="-120" windowWidth="29040" windowHeight="15720" tabRatio="727" xr2:uid="{726E73D7-34D1-4DD9-B79E-8F9748276092}"/>
  </bookViews>
  <sheets>
    <sheet name="Chart Data" sheetId="1" r:id="rId1"/>
    <sheet name="Program Baseline" sheetId="5" r:id="rId2"/>
    <sheet name="Collected Data" sheetId="7" r:id="rId3"/>
    <sheet name="Variances" sheetId="11" r:id="rId4"/>
    <sheet name="Earned Schedule" sheetId="12" r:id="rId5"/>
    <sheet name="Future Actuals and EV" sheetId="13" r:id="rId6"/>
    <sheet name="Rebaselining" sheetId="15" r:id="rId7"/>
    <sheet name="Complete" sheetId="2" r:id="rId8"/>
  </sheets>
  <definedNames>
    <definedName name="AC" localSheetId="0">_xlfn.ANCHORARRAY('Chart Data'!$L$3)</definedName>
    <definedName name="AC_Truncation" localSheetId="0">'Chart Data'!$C$19</definedName>
    <definedName name="Actual_Cost" localSheetId="0">'Chart Data'!$B$11</definedName>
    <definedName name="Actual_Duration" localSheetId="0">'Chart Data'!$A$11</definedName>
    <definedName name="BAC" localSheetId="0">'Chart Data'!$B$3</definedName>
    <definedName name="BCP_BAC">'Chart Data'!$B$8</definedName>
    <definedName name="BCP_Percent">'Chart Data'!$B$6</definedName>
    <definedName name="BCP_Period">'Chart Data'!$A$6</definedName>
    <definedName name="cell_to_left">!XFD1</definedName>
    <definedName name="CV_Label_Time">'Chart Data'!$A$24</definedName>
    <definedName name="EV" localSheetId="0">_xlfn.ANCHORARRAY('Chart Data'!$K$3)</definedName>
    <definedName name="EV_Truncation" localSheetId="0">'Chart Data'!$B$19</definedName>
    <definedName name="expit">_xlfn.LAMBDA(_xlpm.x,1/(1+EXP(-_xlpm.x)))</definedName>
    <definedName name="Final_CV">'Chart Data'!$B$13</definedName>
    <definedName name="Final_SV">'Chart Data'!$A$13</definedName>
    <definedName name="Jitter_Offset">'Chart Data'!$C$21</definedName>
    <definedName name="New_BAC">'Chart Data'!$B$8</definedName>
    <definedName name="Planned_Duration" localSheetId="0">'Chart Data'!$A$3</definedName>
    <definedName name="Post_BCP_Planned_Duration">'Chart Data'!$A$8</definedName>
    <definedName name="pv" localSheetId="0">_xlfn.ANCHORARRAY('Chart Data'!$F$3)</definedName>
    <definedName name="PV_Truncation" localSheetId="0">'Chart Data'!$A$19</definedName>
    <definedName name="sigmoid" comment="Returns a normalized sigmoid function with arguments of percent complete, BAC, and truncation.">_xlfn.LAMBDA(_xlpm.pct,_xlpm.BAC,_xlpm.trunc,_xlpm.BAC*(expit(2*_xlpm.trunc*_xlpm.pct-_xlpm.trunc)-expit(-_xlpm.trunc))/(expit(_xlpm.trunc)-expit(-_xlpm.trunc)))</definedName>
    <definedName name="SV_Label_Time">'Chart Data'!$B$24</definedName>
    <definedName name="t_actual" localSheetId="0">OFFSET(Cumulative_EVM[[#Headers],[t]],1,0,'Chart Data'!Actual_Duration+1,1)</definedName>
    <definedName name="t_planned" localSheetId="0">_xlfn.ANCHORARRAY('Chart Data'!$E$3)</definedName>
    <definedName name="t_rebaselined">OFFSET('Chart Data'!$G$2,1,0,'Chart Data'!$A$8+1)</definedName>
    <definedName name="Time__now">'Chart Data'!$A$16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 a="1"/>
  <c r="H3" i="1" s="1"/>
  <c r="F3" i="1" a="1"/>
  <c r="F3" i="1" s="1"/>
  <c r="BA4" i="1"/>
  <c r="G3" i="1" a="1"/>
  <c r="G3" i="1" s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8" i="1"/>
  <c r="BH13" i="1" s="1"/>
  <c r="B8" i="1"/>
  <c r="BI12" i="1" s="1"/>
  <c r="BH7" i="1"/>
  <c r="AS24" i="1"/>
  <c r="AV10" i="1"/>
  <c r="AV11" i="1"/>
  <c r="AV9" i="1"/>
  <c r="AV4" i="1"/>
  <c r="AV5" i="1"/>
  <c r="AV3" i="1"/>
  <c r="BI7" i="1"/>
  <c r="AN6" i="1"/>
  <c r="AN7" i="1"/>
  <c r="AO4" i="1"/>
  <c r="AO5" i="1"/>
  <c r="AS14" i="1"/>
  <c r="AR14" i="1"/>
  <c r="AR15" i="1"/>
  <c r="AR13" i="1"/>
  <c r="BA6" i="1"/>
  <c r="AR21" i="1"/>
  <c r="AR20" i="1" s="1"/>
  <c r="AZ4" i="1" s="1"/>
  <c r="B11" i="1"/>
  <c r="E3" i="1" a="1"/>
  <c r="AO6" i="1"/>
  <c r="AA23" i="1" l="1"/>
  <c r="AA11" i="1"/>
  <c r="AA33" i="1"/>
  <c r="AA24" i="1"/>
  <c r="AA25" i="1"/>
  <c r="AA4" i="1"/>
  <c r="AA26" i="1"/>
  <c r="AA6" i="1"/>
  <c r="AA29" i="1"/>
  <c r="AA30" i="1"/>
  <c r="AA10" i="1"/>
  <c r="AA32" i="1"/>
  <c r="AA3" i="1"/>
  <c r="BH8" i="1"/>
  <c r="BH9" i="1"/>
  <c r="BH12" i="1"/>
  <c r="BH15" i="1"/>
  <c r="BH14" i="1"/>
  <c r="BI8" i="1"/>
  <c r="BI9" i="1"/>
  <c r="BI14" i="1"/>
  <c r="BI13" i="1"/>
  <c r="E3" i="1"/>
  <c r="I24" i="1"/>
  <c r="I25" i="1"/>
  <c r="I4" i="1"/>
  <c r="I26" i="1"/>
  <c r="I5" i="1"/>
  <c r="AA5" i="1" s="1"/>
  <c r="I27" i="1"/>
  <c r="AA27" i="1" s="1"/>
  <c r="I28" i="1"/>
  <c r="AA28" i="1" s="1"/>
  <c r="I7" i="1"/>
  <c r="I8" i="1"/>
  <c r="AA8" i="1" s="1"/>
  <c r="I31" i="1"/>
  <c r="AA31" i="1" s="1"/>
  <c r="I11" i="1"/>
  <c r="I12" i="1"/>
  <c r="AA12" i="1" s="1"/>
  <c r="I14" i="1"/>
  <c r="AA14" i="1" s="1"/>
  <c r="I16" i="1"/>
  <c r="AA16" i="1" s="1"/>
  <c r="I18" i="1"/>
  <c r="AA18" i="1" s="1"/>
  <c r="I20" i="1"/>
  <c r="AA20" i="1" s="1"/>
  <c r="I21" i="1"/>
  <c r="AA21" i="1" s="1"/>
  <c r="I3" i="1"/>
  <c r="I6" i="1"/>
  <c r="I29" i="1"/>
  <c r="I30" i="1"/>
  <c r="I10" i="1"/>
  <c r="I32" i="1"/>
  <c r="I33" i="1"/>
  <c r="I13" i="1"/>
  <c r="AA13" i="1" s="1"/>
  <c r="I15" i="1"/>
  <c r="AA15" i="1" s="1"/>
  <c r="I17" i="1"/>
  <c r="AA17" i="1" s="1"/>
  <c r="I19" i="1"/>
  <c r="AA19" i="1" s="1"/>
  <c r="I23" i="1"/>
  <c r="I9" i="1"/>
  <c r="AA9" i="1" s="1"/>
  <c r="I22" i="1"/>
  <c r="AA22" i="1" s="1"/>
  <c r="AM31" i="1"/>
  <c r="AN30" i="1"/>
  <c r="AN31" i="1"/>
  <c r="AN29" i="1"/>
  <c r="AM29" i="1"/>
  <c r="AN5" i="1"/>
  <c r="AO3" i="1"/>
  <c r="AA7" i="1" l="1"/>
  <c r="J30" i="1"/>
  <c r="T30" i="1" s="1" a="1"/>
  <c r="T30" i="1" s="1"/>
  <c r="J28" i="1"/>
  <c r="T28" i="1" s="1" a="1"/>
  <c r="T28" i="1" s="1"/>
  <c r="J33" i="1"/>
  <c r="T33" i="1" s="1" a="1"/>
  <c r="T33" i="1" s="1"/>
  <c r="J29" i="1"/>
  <c r="J13" i="1"/>
  <c r="AC13" i="1" s="1"/>
  <c r="J31" i="1"/>
  <c r="J32" i="1"/>
  <c r="T32" i="1" s="1" a="1"/>
  <c r="T32" i="1" s="1"/>
  <c r="S14" i="1" a="1"/>
  <c r="S14" i="1" s="1"/>
  <c r="X14" i="1" a="1"/>
  <c r="X14" i="1" s="1"/>
  <c r="Y14" i="1" a="1"/>
  <c r="Y14" i="1" s="1"/>
  <c r="Z14" i="1" a="1"/>
  <c r="Z14" i="1" s="1"/>
  <c r="W14" i="1" a="1"/>
  <c r="W14" i="1" s="1"/>
  <c r="T29" i="1" a="1"/>
  <c r="T29" i="1" s="1"/>
  <c r="W29" i="1" a="1"/>
  <c r="W29" i="1" s="1"/>
  <c r="S29" i="1" a="1"/>
  <c r="S29" i="1" s="1"/>
  <c r="X7" i="1" a="1"/>
  <c r="X7" i="1" s="1"/>
  <c r="W7" i="1" a="1"/>
  <c r="W7" i="1" s="1"/>
  <c r="Y7" i="1" a="1"/>
  <c r="Y7" i="1" s="1"/>
  <c r="S7" i="1" a="1"/>
  <c r="S7" i="1" s="1"/>
  <c r="Z7" i="1" a="1"/>
  <c r="Z7" i="1" s="1"/>
  <c r="X3" i="1" a="1"/>
  <c r="X3" i="1" s="1"/>
  <c r="W3" i="1" a="1"/>
  <c r="W3" i="1" s="1"/>
  <c r="Y3" i="1" a="1"/>
  <c r="Y3" i="1" s="1"/>
  <c r="S3" i="1" a="1"/>
  <c r="S3" i="1" s="1"/>
  <c r="Z3" i="1" a="1"/>
  <c r="Z3" i="1" s="1"/>
  <c r="W28" i="1" a="1"/>
  <c r="W28" i="1" s="1"/>
  <c r="S28" i="1" a="1"/>
  <c r="S28" i="1" s="1"/>
  <c r="W32" i="1" a="1"/>
  <c r="W32" i="1" s="1"/>
  <c r="S32" i="1" a="1"/>
  <c r="S32" i="1" s="1"/>
  <c r="T27" i="1" a="1"/>
  <c r="T27" i="1" s="1"/>
  <c r="S27" i="1" a="1"/>
  <c r="S27" i="1" s="1"/>
  <c r="W27" i="1" a="1"/>
  <c r="W27" i="1" s="1"/>
  <c r="T20" i="1" a="1"/>
  <c r="T20" i="1" s="1"/>
  <c r="W20" i="1" a="1"/>
  <c r="W20" i="1" s="1"/>
  <c r="S20" i="1" a="1"/>
  <c r="S20" i="1" s="1"/>
  <c r="Y11" i="1" a="1"/>
  <c r="Y11" i="1" s="1"/>
  <c r="S11" i="1" a="1"/>
  <c r="S11" i="1" s="1"/>
  <c r="W11" i="1" a="1"/>
  <c r="W11" i="1" s="1"/>
  <c r="Z11" i="1" a="1"/>
  <c r="Z11" i="1" s="1"/>
  <c r="X11" i="1" a="1"/>
  <c r="X11" i="1" s="1"/>
  <c r="Z5" i="1" a="1"/>
  <c r="Z5" i="1" s="1"/>
  <c r="Y5" i="1" a="1"/>
  <c r="Y5" i="1" s="1"/>
  <c r="W5" i="1" a="1"/>
  <c r="W5" i="1" s="1"/>
  <c r="X5" i="1" a="1"/>
  <c r="X5" i="1" s="1"/>
  <c r="S5" i="1" a="1"/>
  <c r="S5" i="1" s="1"/>
  <c r="Y6" i="1" a="1"/>
  <c r="Y6" i="1" s="1"/>
  <c r="S6" i="1" a="1"/>
  <c r="S6" i="1" s="1"/>
  <c r="X6" i="1" a="1"/>
  <c r="X6" i="1" s="1"/>
  <c r="W6" i="1" a="1"/>
  <c r="W6" i="1" s="1"/>
  <c r="Z6" i="1" a="1"/>
  <c r="Z6" i="1" s="1"/>
  <c r="T31" i="1" a="1"/>
  <c r="T31" i="1" s="1"/>
  <c r="W31" i="1" a="1"/>
  <c r="W31" i="1" s="1"/>
  <c r="S31" i="1" a="1"/>
  <c r="S31" i="1" s="1"/>
  <c r="S19" i="1" a="1"/>
  <c r="S19" i="1" s="1"/>
  <c r="W19" i="1" a="1"/>
  <c r="W19" i="1" s="1"/>
  <c r="T19" i="1" a="1"/>
  <c r="T19" i="1" s="1"/>
  <c r="T26" i="1" a="1"/>
  <c r="T26" i="1" s="1"/>
  <c r="W26" i="1" a="1"/>
  <c r="W26" i="1" s="1"/>
  <c r="S26" i="1" a="1"/>
  <c r="S26" i="1" s="1"/>
  <c r="X10" i="1" a="1"/>
  <c r="X10" i="1" s="1"/>
  <c r="Y10" i="1" a="1"/>
  <c r="Y10" i="1" s="1"/>
  <c r="S10" i="1" a="1"/>
  <c r="S10" i="1" s="1"/>
  <c r="Z10" i="1" a="1"/>
  <c r="Z10" i="1" s="1"/>
  <c r="W10" i="1" a="1"/>
  <c r="W10" i="1" s="1"/>
  <c r="S12" i="1" a="1"/>
  <c r="S12" i="1" s="1"/>
  <c r="Y12" i="1" a="1"/>
  <c r="Y12" i="1" s="1"/>
  <c r="Z12" i="1" a="1"/>
  <c r="Z12" i="1" s="1"/>
  <c r="W12" i="1" a="1"/>
  <c r="W12" i="1" s="1"/>
  <c r="X12" i="1" a="1"/>
  <c r="X12" i="1" s="1"/>
  <c r="W9" i="1" a="1"/>
  <c r="W9" i="1" s="1"/>
  <c r="Z9" i="1" a="1"/>
  <c r="Z9" i="1" s="1"/>
  <c r="S9" i="1" a="1"/>
  <c r="S9" i="1" s="1"/>
  <c r="Y9" i="1" a="1"/>
  <c r="Y9" i="1" s="1"/>
  <c r="X9" i="1" a="1"/>
  <c r="X9" i="1" s="1"/>
  <c r="S17" i="1" a="1"/>
  <c r="S17" i="1" s="1"/>
  <c r="W17" i="1" a="1"/>
  <c r="W17" i="1" s="1"/>
  <c r="Y4" i="1" a="1"/>
  <c r="Y4" i="1" s="1"/>
  <c r="Z4" i="1" a="1"/>
  <c r="Z4" i="1" s="1"/>
  <c r="X4" i="1" a="1"/>
  <c r="X4" i="1" s="1"/>
  <c r="W4" i="1" a="1"/>
  <c r="W4" i="1" s="1"/>
  <c r="S4" i="1" a="1"/>
  <c r="S4" i="1" s="1"/>
  <c r="S30" i="1" a="1"/>
  <c r="S30" i="1" s="1"/>
  <c r="W30" i="1" a="1"/>
  <c r="W30" i="1" s="1"/>
  <c r="S18" i="1" a="1"/>
  <c r="S18" i="1" s="1"/>
  <c r="W18" i="1" a="1"/>
  <c r="W18" i="1" s="1"/>
  <c r="S8" i="1" a="1"/>
  <c r="S8" i="1" s="1"/>
  <c r="X8" i="1" a="1"/>
  <c r="X8" i="1" s="1"/>
  <c r="Y8" i="1" a="1"/>
  <c r="Y8" i="1" s="1"/>
  <c r="W8" i="1" a="1"/>
  <c r="W8" i="1" s="1"/>
  <c r="Z8" i="1" a="1"/>
  <c r="Z8" i="1" s="1"/>
  <c r="S23" i="1" a="1"/>
  <c r="S23" i="1" s="1"/>
  <c r="W23" i="1" a="1"/>
  <c r="W23" i="1" s="1"/>
  <c r="S15" i="1" a="1"/>
  <c r="S15" i="1" s="1"/>
  <c r="W15" i="1" a="1"/>
  <c r="W15" i="1" s="1"/>
  <c r="W25" i="1" a="1"/>
  <c r="W25" i="1" s="1"/>
  <c r="T25" i="1" a="1"/>
  <c r="T25" i="1" s="1"/>
  <c r="S25" i="1" a="1"/>
  <c r="S25" i="1" s="1"/>
  <c r="S33" i="1" a="1"/>
  <c r="S33" i="1" s="1"/>
  <c r="W33" i="1" a="1"/>
  <c r="W33" i="1" s="1"/>
  <c r="T21" i="1" a="1"/>
  <c r="T21" i="1" s="1"/>
  <c r="W21" i="1" a="1"/>
  <c r="W21" i="1" s="1"/>
  <c r="S21" i="1" a="1"/>
  <c r="S21" i="1" s="1"/>
  <c r="S16" i="1" a="1"/>
  <c r="S16" i="1" s="1"/>
  <c r="W16" i="1" a="1"/>
  <c r="W16" i="1" s="1"/>
  <c r="S22" i="1" a="1"/>
  <c r="S22" i="1" s="1"/>
  <c r="W22" i="1" a="1"/>
  <c r="W22" i="1" s="1"/>
  <c r="Y13" i="1" a="1"/>
  <c r="Y13" i="1" s="1"/>
  <c r="S13" i="1" a="1"/>
  <c r="S13" i="1" s="1"/>
  <c r="W13" i="1" a="1"/>
  <c r="W13" i="1" s="1"/>
  <c r="X13" i="1" a="1"/>
  <c r="X13" i="1" s="1"/>
  <c r="Z13" i="1" a="1"/>
  <c r="Z13" i="1" s="1"/>
  <c r="T24" i="1" a="1"/>
  <c r="T24" i="1" s="1"/>
  <c r="S24" i="1" a="1"/>
  <c r="S24" i="1" s="1"/>
  <c r="W24" i="1" a="1"/>
  <c r="W24" i="1" s="1"/>
  <c r="AR6" i="1"/>
  <c r="AM30" i="1"/>
  <c r="AR5" i="1"/>
  <c r="AR4" i="1" s="1"/>
  <c r="AZ11" i="1"/>
  <c r="AR7" i="1"/>
  <c r="AQ7" i="1" s="1"/>
  <c r="AN4" i="1"/>
  <c r="J22" i="1" l="1"/>
  <c r="T22" i="1" s="1" a="1"/>
  <c r="T22" i="1" s="1"/>
  <c r="J24" i="1"/>
  <c r="J20" i="1"/>
  <c r="J14" i="1"/>
  <c r="AC14" i="1" s="1"/>
  <c r="J16" i="1"/>
  <c r="X16" i="1" s="1" a="1"/>
  <c r="X16" i="1" s="1"/>
  <c r="J15" i="1"/>
  <c r="J19" i="1"/>
  <c r="J27" i="1"/>
  <c r="J25" i="1"/>
  <c r="J23" i="1"/>
  <c r="T23" i="1" s="1" a="1"/>
  <c r="T23" i="1" s="1"/>
  <c r="J26" i="1"/>
  <c r="J18" i="1"/>
  <c r="T18" i="1" s="1" a="1"/>
  <c r="T18" i="1" s="1"/>
  <c r="J21" i="1"/>
  <c r="J17" i="1"/>
  <c r="J10" i="1"/>
  <c r="AC10" i="1" s="1"/>
  <c r="J3" i="1"/>
  <c r="J4" i="1"/>
  <c r="AC4" i="1" s="1"/>
  <c r="J9" i="1"/>
  <c r="AC9" i="1" s="1"/>
  <c r="J7" i="1"/>
  <c r="AC7" i="1" s="1"/>
  <c r="J5" i="1"/>
  <c r="AC5" i="1" s="1"/>
  <c r="J6" i="1"/>
  <c r="AC6" i="1" s="1"/>
  <c r="J11" i="1"/>
  <c r="AC11" i="1" s="1"/>
  <c r="J8" i="1"/>
  <c r="AC8" i="1" s="1"/>
  <c r="J12" i="1"/>
  <c r="AC12" i="1" s="1"/>
  <c r="L4" i="1" a="1"/>
  <c r="L4" i="1" s="1"/>
  <c r="V4" i="1" s="1" a="1"/>
  <c r="V4" i="1" s="1"/>
  <c r="K33" i="1" a="1"/>
  <c r="K33" i="1" s="1"/>
  <c r="U33" i="1" s="1" a="1"/>
  <c r="U33" i="1" s="1"/>
  <c r="K32" i="1" a="1"/>
  <c r="K32" i="1" s="1"/>
  <c r="K29" i="1" a="1"/>
  <c r="K29" i="1" s="1"/>
  <c r="K31" i="1" a="1"/>
  <c r="K31" i="1" s="1"/>
  <c r="L3" i="1" a="1"/>
  <c r="L3" i="1" s="1"/>
  <c r="V3" i="1" s="1" a="1"/>
  <c r="V3" i="1" s="1"/>
  <c r="K30" i="1" a="1"/>
  <c r="K30" i="1" s="1"/>
  <c r="L10" i="1" a="1"/>
  <c r="L10" i="1" s="1"/>
  <c r="V10" i="1" s="1" a="1"/>
  <c r="V10" i="1" s="1"/>
  <c r="L20" i="1" a="1"/>
  <c r="L20" i="1" s="1"/>
  <c r="L19" i="1" a="1"/>
  <c r="L19" i="1" s="1"/>
  <c r="L6" i="1" a="1"/>
  <c r="L6" i="1" s="1"/>
  <c r="V6" i="1" s="1" a="1"/>
  <c r="V6" i="1" s="1"/>
  <c r="L15" i="1" a="1"/>
  <c r="L15" i="1" s="1"/>
  <c r="L22" i="1" a="1"/>
  <c r="L22" i="1" s="1"/>
  <c r="L21" i="1" a="1"/>
  <c r="L21" i="1" s="1"/>
  <c r="L9" i="1" a="1"/>
  <c r="L9" i="1" s="1"/>
  <c r="V9" i="1" s="1" a="1"/>
  <c r="V9" i="1" s="1"/>
  <c r="L27" i="1" a="1"/>
  <c r="L27" i="1" s="1"/>
  <c r="L17" i="1" a="1"/>
  <c r="L17" i="1" s="1"/>
  <c r="L5" i="1" a="1"/>
  <c r="L5" i="1" s="1"/>
  <c r="V5" i="1" s="1" a="1"/>
  <c r="V5" i="1" s="1"/>
  <c r="L28" i="1" a="1"/>
  <c r="L28" i="1" s="1"/>
  <c r="L26" i="1" a="1"/>
  <c r="L26" i="1" s="1"/>
  <c r="L14" i="1" a="1"/>
  <c r="L14" i="1" s="1"/>
  <c r="V14" i="1" s="1" a="1"/>
  <c r="V14" i="1" s="1"/>
  <c r="L13" i="1" a="1"/>
  <c r="L13" i="1" s="1"/>
  <c r="V13" i="1" s="1" a="1"/>
  <c r="V13" i="1" s="1"/>
  <c r="L8" i="1" a="1"/>
  <c r="L8" i="1" s="1"/>
  <c r="V8" i="1" s="1" a="1"/>
  <c r="V8" i="1" s="1"/>
  <c r="L7" i="1" a="1"/>
  <c r="L7" i="1" s="1"/>
  <c r="V7" i="1" s="1" a="1"/>
  <c r="V7" i="1" s="1"/>
  <c r="L18" i="1" a="1"/>
  <c r="L18" i="1" s="1"/>
  <c r="L16" i="1" a="1"/>
  <c r="L16" i="1" s="1"/>
  <c r="L25" i="1" a="1"/>
  <c r="L25" i="1" s="1"/>
  <c r="L24" i="1" a="1"/>
  <c r="L24" i="1" s="1"/>
  <c r="L12" i="1" a="1"/>
  <c r="L12" i="1" s="1"/>
  <c r="V12" i="1" s="1" a="1"/>
  <c r="V12" i="1" s="1"/>
  <c r="L23" i="1" a="1"/>
  <c r="L23" i="1" s="1"/>
  <c r="L11" i="1" a="1"/>
  <c r="L11" i="1" s="1"/>
  <c r="V11" i="1" s="1" a="1"/>
  <c r="V11" i="1" s="1"/>
  <c r="K3" i="1" a="1"/>
  <c r="K3" i="1" s="1"/>
  <c r="U3" i="1" s="1" a="1"/>
  <c r="U3" i="1" s="1"/>
  <c r="K25" i="1" a="1"/>
  <c r="K25" i="1" s="1"/>
  <c r="K23" i="1" a="1"/>
  <c r="K23" i="1" s="1"/>
  <c r="K14" i="1" a="1"/>
  <c r="K14" i="1" s="1"/>
  <c r="U14" i="1" s="1" a="1"/>
  <c r="U14" i="1" s="1"/>
  <c r="K17" i="1" a="1"/>
  <c r="K17" i="1" s="1"/>
  <c r="K12" i="1" a="1"/>
  <c r="K12" i="1" s="1"/>
  <c r="U12" i="1" s="1" a="1"/>
  <c r="U12" i="1" s="1"/>
  <c r="K16" i="1" a="1"/>
  <c r="K16" i="1" s="1"/>
  <c r="K6" i="1" a="1"/>
  <c r="K6" i="1" s="1"/>
  <c r="U6" i="1" s="1" a="1"/>
  <c r="U6" i="1" s="1"/>
  <c r="K15" i="1" a="1"/>
  <c r="K15" i="1" s="1"/>
  <c r="K9" i="1" a="1"/>
  <c r="K9" i="1" s="1"/>
  <c r="U9" i="1" s="1" a="1"/>
  <c r="U9" i="1" s="1"/>
  <c r="K27" i="1" a="1"/>
  <c r="K27" i="1" s="1"/>
  <c r="K11" i="1" a="1"/>
  <c r="K11" i="1" s="1"/>
  <c r="U11" i="1" s="1" a="1"/>
  <c r="U11" i="1" s="1"/>
  <c r="K13" i="1" a="1"/>
  <c r="K13" i="1" s="1"/>
  <c r="U13" i="1" s="1" a="1"/>
  <c r="U13" i="1" s="1"/>
  <c r="K18" i="1" a="1"/>
  <c r="K18" i="1" s="1"/>
  <c r="K20" i="1" a="1"/>
  <c r="K20" i="1" s="1"/>
  <c r="K26" i="1" a="1"/>
  <c r="K26" i="1" s="1"/>
  <c r="K28" i="1" a="1"/>
  <c r="K28" i="1" s="1"/>
  <c r="K5" i="1" a="1"/>
  <c r="K5" i="1" s="1"/>
  <c r="U5" i="1" s="1" a="1"/>
  <c r="U5" i="1" s="1"/>
  <c r="K4" i="1" a="1"/>
  <c r="K4" i="1" s="1"/>
  <c r="K7" i="1" a="1"/>
  <c r="K7" i="1" s="1"/>
  <c r="U7" i="1" s="1" a="1"/>
  <c r="U7" i="1" s="1"/>
  <c r="K8" i="1" a="1"/>
  <c r="K8" i="1" s="1"/>
  <c r="U8" i="1" s="1" a="1"/>
  <c r="U8" i="1" s="1"/>
  <c r="K10" i="1" a="1"/>
  <c r="K10" i="1" s="1"/>
  <c r="U10" i="1" s="1" a="1"/>
  <c r="U10" i="1" s="1"/>
  <c r="K24" i="1" a="1"/>
  <c r="K24" i="1" s="1"/>
  <c r="K21" i="1" a="1"/>
  <c r="K21" i="1" s="1"/>
  <c r="K22" i="1" a="1"/>
  <c r="K22" i="1" s="1"/>
  <c r="K19" i="1" a="1"/>
  <c r="K19" i="1" s="1"/>
  <c r="L31" i="1" a="1"/>
  <c r="L31" i="1" s="1"/>
  <c r="L32" i="1" a="1"/>
  <c r="L32" i="1" s="1"/>
  <c r="L29" i="1" a="1"/>
  <c r="L29" i="1" s="1"/>
  <c r="L33" i="1" a="1"/>
  <c r="L33" i="1" s="1"/>
  <c r="L30" i="1" a="1"/>
  <c r="L30" i="1" s="1"/>
  <c r="BD5" i="1"/>
  <c r="BD4" i="1" s="1"/>
  <c r="BD7" i="1"/>
  <c r="BD6" i="1"/>
  <c r="X15" i="1" l="1" a="1"/>
  <c r="X15" i="1" s="1"/>
  <c r="AC15" i="1"/>
  <c r="T3" i="1" a="1"/>
  <c r="T3" i="1" s="1"/>
  <c r="AC3" i="1"/>
  <c r="AD33" i="1" a="1"/>
  <c r="AD33" i="1" s="1"/>
  <c r="AD26" i="1" a="1"/>
  <c r="AD26" i="1" s="1"/>
  <c r="AD27" i="1" a="1"/>
  <c r="AD27" i="1" s="1"/>
  <c r="AD32" i="1" a="1"/>
  <c r="AD32" i="1" s="1"/>
  <c r="AD20" i="1" a="1"/>
  <c r="AD20" i="1" s="1"/>
  <c r="AD10" i="1" a="1"/>
  <c r="AD10" i="1" s="1"/>
  <c r="AD16" i="1" a="1"/>
  <c r="AD16" i="1" s="1"/>
  <c r="AD13" i="1" a="1"/>
  <c r="AD13" i="1" s="1"/>
  <c r="AD31" i="1" a="1"/>
  <c r="AD31" i="1" s="1"/>
  <c r="AD12" i="1" a="1"/>
  <c r="AD12" i="1" s="1"/>
  <c r="AD8" i="1" a="1"/>
  <c r="AD8" i="1" s="1"/>
  <c r="AD25" i="1" a="1"/>
  <c r="AD25" i="1" s="1"/>
  <c r="AD11" i="1" a="1"/>
  <c r="AD11" i="1" s="1"/>
  <c r="AD23" i="1" a="1"/>
  <c r="AD23" i="1" s="1"/>
  <c r="AD3" i="1" a="1"/>
  <c r="AD3" i="1" s="1"/>
  <c r="AD5" i="1" a="1"/>
  <c r="AD5" i="1" s="1"/>
  <c r="AD21" i="1" a="1"/>
  <c r="AD21" i="1" s="1"/>
  <c r="AD18" i="1" a="1"/>
  <c r="AD18" i="1" s="1"/>
  <c r="AD14" i="1" a="1"/>
  <c r="AD14" i="1" s="1"/>
  <c r="AD17" i="1" a="1"/>
  <c r="AD17" i="1" s="1"/>
  <c r="AD29" i="1" a="1"/>
  <c r="AD29" i="1" s="1"/>
  <c r="AD22" i="1" a="1"/>
  <c r="AD22" i="1" s="1"/>
  <c r="AD9" i="1" a="1"/>
  <c r="AD9" i="1" s="1"/>
  <c r="AD19" i="1" a="1"/>
  <c r="AD19" i="1" s="1"/>
  <c r="AD28" i="1" a="1"/>
  <c r="AD28" i="1" s="1"/>
  <c r="AD6" i="1" a="1"/>
  <c r="AD6" i="1" s="1"/>
  <c r="AD4" i="1" a="1"/>
  <c r="AD4" i="1" s="1"/>
  <c r="AD15" i="1" a="1"/>
  <c r="AD15" i="1" s="1"/>
  <c r="AD24" i="1" a="1"/>
  <c r="AD24" i="1" s="1"/>
  <c r="AD30" i="1" a="1"/>
  <c r="AD30" i="1" s="1"/>
  <c r="AD7" i="1" a="1"/>
  <c r="AD7" i="1" s="1"/>
  <c r="U4" i="1" a="1"/>
  <c r="U4" i="1" s="1"/>
  <c r="V16" i="1" a="1"/>
  <c r="V16" i="1" s="1"/>
  <c r="Z16" i="1" a="1"/>
  <c r="Z16" i="1" s="1"/>
  <c r="U15" i="1" a="1"/>
  <c r="U15" i="1" s="1"/>
  <c r="Y15" i="1" a="1"/>
  <c r="Y15" i="1" s="1"/>
  <c r="U16" i="1" a="1"/>
  <c r="U16" i="1" s="1"/>
  <c r="Y16" i="1" a="1"/>
  <c r="Y16" i="1" s="1"/>
  <c r="V15" i="1" a="1"/>
  <c r="V15" i="1" s="1"/>
  <c r="Z15" i="1" a="1"/>
  <c r="Z15" i="1" s="1"/>
  <c r="Y30" i="1" a="1"/>
  <c r="Y30" i="1" s="1"/>
  <c r="U30" i="1" a="1"/>
  <c r="U30" i="1" s="1"/>
  <c r="Z25" i="1" a="1"/>
  <c r="Z25" i="1" s="1"/>
  <c r="V25" i="1" a="1"/>
  <c r="V25" i="1" s="1"/>
  <c r="Y28" i="1" a="1"/>
  <c r="Y28" i="1" s="1"/>
  <c r="U28" i="1" a="1"/>
  <c r="U28" i="1" s="1"/>
  <c r="Y26" i="1" a="1"/>
  <c r="Y26" i="1" s="1"/>
  <c r="U26" i="1" a="1"/>
  <c r="U26" i="1" s="1"/>
  <c r="Z18" i="1" a="1"/>
  <c r="Z18" i="1" s="1"/>
  <c r="V18" i="1" a="1"/>
  <c r="V18" i="1" s="1"/>
  <c r="Y32" i="1" a="1"/>
  <c r="Y32" i="1" s="1"/>
  <c r="U32" i="1" a="1"/>
  <c r="U32" i="1" s="1"/>
  <c r="Y20" i="1" a="1"/>
  <c r="Y20" i="1" s="1"/>
  <c r="U20" i="1" a="1"/>
  <c r="U20" i="1" s="1"/>
  <c r="Z30" i="1" a="1"/>
  <c r="Z30" i="1" s="1"/>
  <c r="V30" i="1" a="1"/>
  <c r="V30" i="1" s="1"/>
  <c r="Z23" i="1" a="1"/>
  <c r="Z23" i="1" s="1"/>
  <c r="V23" i="1" a="1"/>
  <c r="V23" i="1" s="1"/>
  <c r="Z24" i="1" a="1"/>
  <c r="Z24" i="1" s="1"/>
  <c r="V24" i="1" a="1"/>
  <c r="V24" i="1" s="1"/>
  <c r="Y31" i="1" a="1"/>
  <c r="Y31" i="1" s="1"/>
  <c r="U31" i="1" a="1"/>
  <c r="U31" i="1" s="1"/>
  <c r="Y29" i="1" a="1"/>
  <c r="Y29" i="1" s="1"/>
  <c r="U29" i="1" a="1"/>
  <c r="U29" i="1" s="1"/>
  <c r="Y18" i="1" a="1"/>
  <c r="Y18" i="1" s="1"/>
  <c r="U18" i="1" a="1"/>
  <c r="U18" i="1" s="1"/>
  <c r="Z20" i="1" a="1"/>
  <c r="Z20" i="1" s="1"/>
  <c r="V20" i="1" a="1"/>
  <c r="V20" i="1" s="1"/>
  <c r="Y27" i="1" a="1"/>
  <c r="Y27" i="1" s="1"/>
  <c r="U27" i="1" a="1"/>
  <c r="U27" i="1" s="1"/>
  <c r="Z26" i="1" a="1"/>
  <c r="Z26" i="1" s="1"/>
  <c r="V26" i="1" a="1"/>
  <c r="V26" i="1" s="1"/>
  <c r="Z28" i="1" a="1"/>
  <c r="Z28" i="1" s="1"/>
  <c r="V28" i="1" a="1"/>
  <c r="V28" i="1" s="1"/>
  <c r="Z33" i="1" a="1"/>
  <c r="Z33" i="1" s="1"/>
  <c r="V33" i="1" a="1"/>
  <c r="V33" i="1" s="1"/>
  <c r="Z27" i="1" a="1"/>
  <c r="Z27" i="1" s="1"/>
  <c r="V27" i="1" a="1"/>
  <c r="V27" i="1" s="1"/>
  <c r="Z32" i="1" a="1"/>
  <c r="Z32" i="1" s="1"/>
  <c r="V32" i="1" a="1"/>
  <c r="V32" i="1" s="1"/>
  <c r="Z29" i="1" a="1"/>
  <c r="Z29" i="1" s="1"/>
  <c r="V29" i="1" a="1"/>
  <c r="V29" i="1" s="1"/>
  <c r="Z21" i="1" a="1"/>
  <c r="Z21" i="1" s="1"/>
  <c r="V21" i="1" a="1"/>
  <c r="V21" i="1" s="1"/>
  <c r="Y23" i="1" a="1"/>
  <c r="Y23" i="1" s="1"/>
  <c r="U23" i="1" a="1"/>
  <c r="U23" i="1" s="1"/>
  <c r="Z31" i="1" a="1"/>
  <c r="Z31" i="1" s="1"/>
  <c r="V31" i="1" a="1"/>
  <c r="V31" i="1" s="1"/>
  <c r="Z22" i="1" a="1"/>
  <c r="Z22" i="1" s="1"/>
  <c r="V22" i="1" a="1"/>
  <c r="V22" i="1" s="1"/>
  <c r="Y22" i="1" a="1"/>
  <c r="Y22" i="1" s="1"/>
  <c r="U22" i="1" a="1"/>
  <c r="U22" i="1" s="1"/>
  <c r="Y21" i="1" a="1"/>
  <c r="Y21" i="1" s="1"/>
  <c r="U21" i="1" a="1"/>
  <c r="U21" i="1" s="1"/>
  <c r="Y25" i="1" a="1"/>
  <c r="Y25" i="1" s="1"/>
  <c r="U25" i="1" a="1"/>
  <c r="U25" i="1" s="1"/>
  <c r="Y19" i="1" a="1"/>
  <c r="Y19" i="1" s="1"/>
  <c r="U19" i="1" a="1"/>
  <c r="U19" i="1" s="1"/>
  <c r="Y24" i="1" a="1"/>
  <c r="Y24" i="1" s="1"/>
  <c r="U24" i="1" a="1"/>
  <c r="U24" i="1" s="1"/>
  <c r="Z19" i="1" a="1"/>
  <c r="Z19" i="1" s="1"/>
  <c r="V19" i="1" a="1"/>
  <c r="V19" i="1" s="1"/>
  <c r="BA12" i="1"/>
  <c r="BA11" i="1"/>
  <c r="Y33" i="1" a="1"/>
  <c r="Y33" i="1" s="1"/>
  <c r="X30" i="1" a="1"/>
  <c r="X30" i="1" s="1"/>
  <c r="X28" i="1" a="1"/>
  <c r="X28" i="1" s="1"/>
  <c r="X31" i="1" a="1"/>
  <c r="X31" i="1" s="1"/>
  <c r="X29" i="1" a="1"/>
  <c r="X29" i="1" s="1"/>
  <c r="X33" i="1" a="1"/>
  <c r="X33" i="1" s="1"/>
  <c r="X32" i="1" a="1"/>
  <c r="X32" i="1" s="1"/>
  <c r="X20" i="1" a="1"/>
  <c r="X20" i="1" s="1"/>
  <c r="T9" i="1" a="1"/>
  <c r="T9" i="1" s="1"/>
  <c r="X21" i="1" a="1"/>
  <c r="X21" i="1" s="1"/>
  <c r="T6" i="1" a="1"/>
  <c r="T6" i="1" s="1"/>
  <c r="T8" i="1" a="1"/>
  <c r="T8" i="1" s="1"/>
  <c r="X25" i="1" a="1"/>
  <c r="X25" i="1" s="1"/>
  <c r="T10" i="1" a="1"/>
  <c r="T10" i="1" s="1"/>
  <c r="X23" i="1" a="1"/>
  <c r="X23" i="1" s="1"/>
  <c r="X22" i="1" a="1"/>
  <c r="X22" i="1" s="1"/>
  <c r="X18" i="1" a="1"/>
  <c r="X18" i="1" s="1"/>
  <c r="X19" i="1" a="1"/>
  <c r="X19" i="1" s="1"/>
  <c r="T15" i="1" a="1"/>
  <c r="T15" i="1" s="1"/>
  <c r="X26" i="1" a="1"/>
  <c r="X26" i="1" s="1"/>
  <c r="T16" i="1" a="1"/>
  <c r="T16" i="1" s="1"/>
  <c r="T12" i="1" a="1"/>
  <c r="T12" i="1" s="1"/>
  <c r="T7" i="1" a="1"/>
  <c r="T7" i="1" s="1"/>
  <c r="T13" i="1" a="1"/>
  <c r="T13" i="1" s="1"/>
  <c r="X27" i="1" a="1"/>
  <c r="X27" i="1" s="1"/>
  <c r="X24" i="1" a="1"/>
  <c r="X24" i="1" s="1"/>
  <c r="T4" i="1" a="1"/>
  <c r="T4" i="1" s="1"/>
  <c r="T5" i="1" a="1"/>
  <c r="T5" i="1" s="1"/>
  <c r="T14" i="1" a="1"/>
  <c r="T14" i="1" s="1"/>
  <c r="T11" i="1" a="1"/>
  <c r="T11" i="1" s="1"/>
  <c r="AS11" i="1"/>
  <c r="AS13" i="1"/>
  <c r="AS12" i="1"/>
  <c r="BA5" i="1"/>
  <c r="AQ15" i="1"/>
  <c r="Z17" i="1" a="1"/>
  <c r="Z17" i="1" s="1"/>
  <c r="V17" i="1" a="1"/>
  <c r="V17" i="1" s="1"/>
  <c r="X17" i="1" a="1"/>
  <c r="X17" i="1" s="1"/>
  <c r="T17" i="1" a="1"/>
  <c r="T17" i="1" s="1"/>
  <c r="Y17" i="1" a="1"/>
  <c r="Y17" i="1" s="1"/>
  <c r="U17" i="1" a="1"/>
  <c r="U17" i="1" s="1"/>
  <c r="AS20" i="1"/>
  <c r="AG20" i="1"/>
  <c r="AS19" i="1"/>
  <c r="AS21" i="1"/>
  <c r="AW9" i="1"/>
  <c r="AW3" i="1"/>
  <c r="AW5" i="1"/>
  <c r="AW11" i="1"/>
  <c r="BA3" i="1"/>
  <c r="AI26" i="1"/>
  <c r="N18" i="1"/>
  <c r="AS4" i="1"/>
  <c r="AG19" i="1"/>
  <c r="P33" i="1"/>
  <c r="N14" i="1"/>
  <c r="AG25" i="1"/>
  <c r="O8" i="1"/>
  <c r="O6" i="1"/>
  <c r="O7" i="1"/>
  <c r="AS3" i="1"/>
  <c r="N10" i="1"/>
  <c r="AG12" i="1"/>
  <c r="N16" i="1"/>
  <c r="AI16" i="1"/>
  <c r="AI18" i="1"/>
  <c r="AI23" i="1"/>
  <c r="AI7" i="1"/>
  <c r="AG26" i="1"/>
  <c r="AH7" i="1"/>
  <c r="AI13" i="1"/>
  <c r="AG28" i="1"/>
  <c r="AG17" i="1"/>
  <c r="AH10" i="1"/>
  <c r="AG23" i="1"/>
  <c r="AG14" i="1"/>
  <c r="AG21" i="1"/>
  <c r="N12" i="1"/>
  <c r="AG10" i="1"/>
  <c r="N6" i="1"/>
  <c r="AG16" i="1"/>
  <c r="AG4" i="1"/>
  <c r="AG15" i="1"/>
  <c r="AG13" i="1"/>
  <c r="AG11" i="1"/>
  <c r="AG24" i="1"/>
  <c r="O9" i="1"/>
  <c r="AG7" i="1"/>
  <c r="AG8" i="1"/>
  <c r="AG9" i="1"/>
  <c r="AG27" i="1"/>
  <c r="AG18" i="1"/>
  <c r="AI10" i="1"/>
  <c r="AS5" i="1"/>
  <c r="AH6" i="1"/>
  <c r="AI19" i="1"/>
  <c r="AG5" i="1"/>
  <c r="AI4" i="1"/>
  <c r="O18" i="1"/>
  <c r="O10" i="1"/>
  <c r="P18" i="1"/>
  <c r="O19" i="1"/>
  <c r="O12" i="1"/>
  <c r="AH27" i="1"/>
  <c r="O27" i="1"/>
  <c r="M27" i="1"/>
  <c r="P27" i="1"/>
  <c r="N27" i="1"/>
  <c r="P29" i="1"/>
  <c r="O29" i="1"/>
  <c r="O17" i="1"/>
  <c r="N17" i="1"/>
  <c r="M17" i="1"/>
  <c r="AH17" i="1"/>
  <c r="AH18" i="1"/>
  <c r="P17" i="1"/>
  <c r="O21" i="1"/>
  <c r="P21" i="1"/>
  <c r="M21" i="1"/>
  <c r="AH21" i="1"/>
  <c r="N21" i="1"/>
  <c r="AI17" i="1"/>
  <c r="P3" i="1"/>
  <c r="M3" i="1"/>
  <c r="O3" i="1"/>
  <c r="N3" i="1"/>
  <c r="AI11" i="1"/>
  <c r="AI20" i="1"/>
  <c r="AH23" i="1"/>
  <c r="N23" i="1"/>
  <c r="O23" i="1"/>
  <c r="P23" i="1"/>
  <c r="M23" i="1"/>
  <c r="P25" i="1"/>
  <c r="O25" i="1"/>
  <c r="AH25" i="1"/>
  <c r="N25" i="1"/>
  <c r="M25" i="1"/>
  <c r="M8" i="1"/>
  <c r="AH9" i="1"/>
  <c r="AH8" i="1"/>
  <c r="N8" i="1"/>
  <c r="P8" i="1"/>
  <c r="AI24" i="1"/>
  <c r="BE5" i="1"/>
  <c r="N22" i="1"/>
  <c r="P22" i="1"/>
  <c r="O22" i="1"/>
  <c r="M22" i="1"/>
  <c r="AH22" i="1"/>
  <c r="AI5" i="1"/>
  <c r="AH24" i="1"/>
  <c r="M24" i="1"/>
  <c r="N24" i="1"/>
  <c r="P24" i="1"/>
  <c r="O24" i="1"/>
  <c r="O31" i="1"/>
  <c r="P31" i="1"/>
  <c r="M4" i="1"/>
  <c r="N4" i="1"/>
  <c r="AH4" i="1"/>
  <c r="O4" i="1"/>
  <c r="P4" i="1"/>
  <c r="AI21" i="1"/>
  <c r="M16" i="1"/>
  <c r="O5" i="1"/>
  <c r="N5" i="1"/>
  <c r="P5" i="1"/>
  <c r="AH5" i="1"/>
  <c r="M5" i="1"/>
  <c r="AI12" i="1"/>
  <c r="AI22" i="1"/>
  <c r="M28" i="1"/>
  <c r="AH28" i="1"/>
  <c r="O28" i="1"/>
  <c r="P28" i="1"/>
  <c r="N28" i="1"/>
  <c r="N26" i="1"/>
  <c r="M26" i="1"/>
  <c r="O26" i="1"/>
  <c r="P26" i="1"/>
  <c r="AH26" i="1"/>
  <c r="AI25" i="1"/>
  <c r="AI15" i="1"/>
  <c r="M13" i="1"/>
  <c r="AH13" i="1"/>
  <c r="O13" i="1"/>
  <c r="P13" i="1"/>
  <c r="N13" i="1"/>
  <c r="O11" i="1"/>
  <c r="P11" i="1"/>
  <c r="AH11" i="1"/>
  <c r="N11" i="1"/>
  <c r="M11" i="1"/>
  <c r="AH12" i="1"/>
  <c r="AI9" i="1"/>
  <c r="AI8" i="1"/>
  <c r="O30" i="1"/>
  <c r="P30" i="1"/>
  <c r="N15" i="1"/>
  <c r="AH15" i="1"/>
  <c r="M15" i="1"/>
  <c r="O15" i="1"/>
  <c r="AH16" i="1"/>
  <c r="P15" i="1"/>
  <c r="AI14" i="1"/>
  <c r="O32" i="1"/>
  <c r="P32" i="1"/>
  <c r="AI28" i="1"/>
  <c r="AI27" i="1"/>
  <c r="O20" i="1"/>
  <c r="P20" i="1"/>
  <c r="AH20" i="1"/>
  <c r="N20" i="1"/>
  <c r="M20" i="1"/>
  <c r="M6" i="1"/>
  <c r="AI6" i="1"/>
  <c r="AG6" i="1"/>
  <c r="P16" i="1"/>
  <c r="P7" i="1"/>
  <c r="P6" i="1"/>
  <c r="AG22" i="1"/>
  <c r="O14" i="1"/>
  <c r="N9" i="1"/>
  <c r="M19" i="1"/>
  <c r="O16" i="1"/>
  <c r="BE4" i="1"/>
  <c r="O33" i="1"/>
  <c r="AH14" i="1"/>
  <c r="AH19" i="1"/>
  <c r="BE3" i="1"/>
  <c r="M10" i="1"/>
  <c r="BE6" i="1"/>
  <c r="M7" i="1"/>
  <c r="P14" i="1"/>
  <c r="M18" i="1"/>
  <c r="P9" i="1"/>
  <c r="M12" i="1"/>
  <c r="M9" i="1"/>
  <c r="N7" i="1"/>
  <c r="M14" i="1"/>
  <c r="P19" i="1"/>
  <c r="P12" i="1"/>
  <c r="N19" i="1"/>
  <c r="P10" i="1"/>
  <c r="Q4" i="1" l="1"/>
  <c r="R4" i="1" s="1"/>
  <c r="Q33" i="1"/>
  <c r="R33" i="1" s="1"/>
  <c r="AW10" i="1"/>
  <c r="AW4" i="1"/>
  <c r="AJ26" i="1"/>
  <c r="AJ10" i="1"/>
  <c r="AJ7" i="1"/>
  <c r="AK6" i="1"/>
  <c r="Q22" i="1"/>
  <c r="R22" i="1" s="1"/>
  <c r="AJ6" i="1"/>
  <c r="AK10" i="1"/>
  <c r="Q11" i="1"/>
  <c r="R11" i="1" s="1"/>
  <c r="Q25" i="1"/>
  <c r="R25" i="1" s="1"/>
  <c r="AK7" i="1"/>
  <c r="Q20" i="1"/>
  <c r="R20" i="1" s="1"/>
  <c r="Q28" i="1"/>
  <c r="R28" i="1" s="1"/>
  <c r="Q12" i="1"/>
  <c r="R12" i="1" s="1"/>
  <c r="Q9" i="1"/>
  <c r="R9" i="1" s="1"/>
  <c r="Q17" i="1"/>
  <c r="R17" i="1" s="1"/>
  <c r="Q23" i="1"/>
  <c r="R23" i="1" s="1"/>
  <c r="Q5" i="1"/>
  <c r="R5" i="1" s="1"/>
  <c r="Q27" i="1"/>
  <c r="R27" i="1" s="1"/>
  <c r="Q10" i="1"/>
  <c r="R10" i="1" s="1"/>
  <c r="Q19" i="1"/>
  <c r="R19" i="1" s="1"/>
  <c r="Q18" i="1"/>
  <c r="R18" i="1" s="1"/>
  <c r="Q3" i="1"/>
  <c r="R3" i="1" s="1"/>
  <c r="Q24" i="1"/>
  <c r="R24" i="1" s="1"/>
  <c r="Q14" i="1"/>
  <c r="R14" i="1" s="1"/>
  <c r="Q6" i="1"/>
  <c r="R6" i="1" s="1"/>
  <c r="Q31" i="1"/>
  <c r="R31" i="1" s="1"/>
  <c r="Q32" i="1"/>
  <c r="R32" i="1" s="1"/>
  <c r="Q13" i="1"/>
  <c r="R13" i="1" s="1"/>
  <c r="Q8" i="1"/>
  <c r="R8" i="1" s="1"/>
  <c r="AK22" i="1"/>
  <c r="AJ22" i="1"/>
  <c r="AK13" i="1"/>
  <c r="AJ13" i="1"/>
  <c r="AJ15" i="1"/>
  <c r="AK15" i="1"/>
  <c r="AJ28" i="1"/>
  <c r="AK23" i="1"/>
  <c r="AJ23" i="1"/>
  <c r="AK17" i="1"/>
  <c r="AJ17" i="1"/>
  <c r="AJ19" i="1"/>
  <c r="AK19" i="1"/>
  <c r="AJ4" i="1"/>
  <c r="AK4" i="1"/>
  <c r="AJ12" i="1"/>
  <c r="AK12" i="1"/>
  <c r="AK9" i="1"/>
  <c r="AJ9" i="1"/>
  <c r="AJ11" i="1"/>
  <c r="AK11" i="1"/>
  <c r="Q16" i="1"/>
  <c r="R16" i="1" s="1"/>
  <c r="AJ25" i="1"/>
  <c r="Q15" i="1"/>
  <c r="R15" i="1" s="1"/>
  <c r="AJ27" i="1"/>
  <c r="AK21" i="1"/>
  <c r="AJ21" i="1"/>
  <c r="AJ18" i="1"/>
  <c r="AK18" i="1"/>
  <c r="Q30" i="1"/>
  <c r="R30" i="1" s="1"/>
  <c r="AK14" i="1"/>
  <c r="AJ14" i="1"/>
  <c r="Q26" i="1"/>
  <c r="R26" i="1" s="1"/>
  <c r="Q7" i="1"/>
  <c r="R7" i="1" s="1"/>
  <c r="AJ8" i="1"/>
  <c r="AK8" i="1"/>
  <c r="Q29" i="1"/>
  <c r="R29" i="1" s="1"/>
  <c r="AK5" i="1"/>
  <c r="AJ5" i="1"/>
  <c r="Q21" i="1"/>
  <c r="R21" i="1" s="1"/>
  <c r="AK20" i="1"/>
  <c r="AJ20" i="1"/>
  <c r="AJ16" i="1"/>
  <c r="AK16" i="1"/>
  <c r="AJ24" i="1"/>
  <c r="AZ5" i="1" l="1"/>
  <c r="AZ6" i="1" s="1"/>
  <c r="AZ7" i="1" l="1"/>
  <c r="AY7" i="1" s="1"/>
  <c r="AZ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<sst xmlns="http://schemas.openxmlformats.org/spreadsheetml/2006/main" count="116" uniqueCount="80">
  <si>
    <t>PV</t>
  </si>
  <si>
    <t>EV</t>
  </si>
  <si>
    <t>AC</t>
  </si>
  <si>
    <t>t</t>
  </si>
  <si>
    <t>t_plan</t>
  </si>
  <si>
    <t>Planned Duration</t>
  </si>
  <si>
    <t>BAC</t>
  </si>
  <si>
    <t>Actual Duration</t>
  </si>
  <si>
    <t>EV Noise</t>
  </si>
  <si>
    <t>AC Noise</t>
  </si>
  <si>
    <t>Time</t>
  </si>
  <si>
    <t>Planned Value</t>
  </si>
  <si>
    <t>Actual Cost</t>
  </si>
  <si>
    <t>Earned Value</t>
  </si>
  <si>
    <t>Time__now</t>
  </si>
  <si>
    <t>Cumulative</t>
  </si>
  <si>
    <t>Incremental</t>
  </si>
  <si>
    <t>CPI</t>
  </si>
  <si>
    <t>SPI</t>
  </si>
  <si>
    <t>ES</t>
  </si>
  <si>
    <t>Earned Value Point</t>
  </si>
  <si>
    <t>ES Month After</t>
  </si>
  <si>
    <t>ES Month Before</t>
  </si>
  <si>
    <t>ES Fraction</t>
  </si>
  <si>
    <t>Final Duration</t>
  </si>
  <si>
    <t>Final Cost</t>
  </si>
  <si>
    <t>PV Sigmoid Truncation</t>
  </si>
  <si>
    <t>EV Sigmoid Truncation</t>
  </si>
  <si>
    <t>AC Sigmoid Truncation</t>
  </si>
  <si>
    <t>Labels</t>
  </si>
  <si>
    <t>Label</t>
  </si>
  <si>
    <t>Final SV</t>
  </si>
  <si>
    <t>Final CV</t>
  </si>
  <si>
    <t>Cost</t>
  </si>
  <si>
    <t>CV</t>
  </si>
  <si>
    <t>SV</t>
  </si>
  <si>
    <t>Actual Cost to Date</t>
  </si>
  <si>
    <t>Baseline</t>
  </si>
  <si>
    <t>True Final Values</t>
  </si>
  <si>
    <t>Cost Variance</t>
  </si>
  <si>
    <t>Schedule Variance</t>
  </si>
  <si>
    <t>Earned Value to Date</t>
  </si>
  <si>
    <t>Planned Value to Date</t>
  </si>
  <si>
    <t>t_to_now</t>
  </si>
  <si>
    <t>AC_to_now</t>
  </si>
  <si>
    <t>EV_to_now</t>
  </si>
  <si>
    <t>t_future</t>
  </si>
  <si>
    <t>AC_future</t>
  </si>
  <si>
    <t>EV_Future</t>
  </si>
  <si>
    <t>PV_Future</t>
  </si>
  <si>
    <t>PV_to_now</t>
  </si>
  <si>
    <t>Earned Schedule</t>
  </si>
  <si>
    <t>Cumulative Planned Value</t>
  </si>
  <si>
    <t>Cumulative Actual Cost</t>
  </si>
  <si>
    <t>Cumulative Earned Value</t>
  </si>
  <si>
    <t>Cumulative Earned Value (Now)</t>
  </si>
  <si>
    <t>BCP t</t>
  </si>
  <si>
    <t>BCP Actual Cost</t>
  </si>
  <si>
    <t>BCP EV</t>
  </si>
  <si>
    <t>BCP PV</t>
  </si>
  <si>
    <t>t_rebaselined</t>
  </si>
  <si>
    <t>PV_rebaseline</t>
  </si>
  <si>
    <t>New_Baseline</t>
  </si>
  <si>
    <t>Post-BCP Baseline</t>
  </si>
  <si>
    <t>Post BCP Planned Duration</t>
  </si>
  <si>
    <t>Jitter Offset</t>
  </si>
  <si>
    <t>Offset</t>
  </si>
  <si>
    <t>Post-BCP</t>
  </si>
  <si>
    <t>Baseline Pre-BCP</t>
  </si>
  <si>
    <t>Re-baselining</t>
  </si>
  <si>
    <t>BCP Period</t>
  </si>
  <si>
    <t>BCP Percent</t>
  </si>
  <si>
    <t>CV Label Time</t>
  </si>
  <si>
    <t>SV Label Time</t>
  </si>
  <si>
    <t>BCP BAC</t>
  </si>
  <si>
    <t>BCP Planned Duration</t>
  </si>
  <si>
    <t>PV Pre-BCP</t>
  </si>
  <si>
    <t>Budget At Completion</t>
  </si>
  <si>
    <t>Planned Completion</t>
  </si>
  <si>
    <t>Status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</si>
</sst>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1" applyNumberFormat="1" applyFont="1"/>
    <xf numFmtId="164" fontId="0" fillId="0" borderId="0" xfId="0" applyNumberFormat="1"/>
    <xf numFmtId="0" fontId="0" fillId="2" borderId="0" xfId="0" applyFill="1" applyAlignment="1">
      <alignment horizontal="centerContinuous"/>
    </xf>
    <xf numFmtId="0" fontId="0" fillId="3" borderId="0" xfId="0" applyFill="1" applyAlignment="1">
      <alignment horizontal="centerContinuous"/>
    </xf>
    <xf numFmtId="9" fontId="0" fillId="0" borderId="0" xfId="2" applyFont="1"/>
    <xf numFmtId="2" fontId="0" fillId="0" borderId="0" xfId="0" applyNumberFormat="1"/>
    <xf numFmtId="0" fontId="0" fillId="0" borderId="0" xfId="2" applyNumberFormat="1" applyFont="1"/>
    <xf numFmtId="1" fontId="0" fillId="0" borderId="0" xfId="0" applyNumberFormat="1"/>
    <xf numFmtId="0" fontId="0" fillId="4" borderId="0" xfId="0" applyFill="1" applyAlignment="1">
      <alignment horizontal="centerContinuous"/>
    </xf>
    <xf numFmtId="0" fontId="0" fillId="5" borderId="0" xfId="0" applyFill="1" applyAlignment="1">
      <alignment horizontal="centerContinuous"/>
    </xf>
    <xf numFmtId="0" fontId="0" fillId="6" borderId="0" xfId="0" applyFill="1" applyAlignment="1">
      <alignment horizontal="centerContinuous"/>
    </xf>
    <xf numFmtId="0" fontId="0" fillId="7" borderId="0" xfId="0" applyFill="1" applyAlignment="1">
      <alignment horizontal="centerContinuous"/>
    </xf>
    <xf numFmtId="0" fontId="0" fillId="8" borderId="0" xfId="0" applyFill="1" applyAlignment="1">
      <alignment horizontal="centerContinuous"/>
    </xf>
    <xf numFmtId="0" fontId="0" fillId="9" borderId="0" xfId="0" applyFill="1" applyAlignment="1">
      <alignment horizontal="centerContinuous"/>
    </xf>
    <xf numFmtId="11" fontId="0" fillId="0" borderId="0" xfId="0" applyNumberFormat="1"/>
    <xf numFmtId="0" fontId="2" fillId="6" borderId="0" xfId="0" applyFont="1" applyFill="1" applyAlignment="1">
      <alignment horizontal="centerContinuous"/>
    </xf>
    <xf numFmtId="0" fontId="2" fillId="7" borderId="0" xfId="0" applyFont="1" applyFill="1" applyAlignment="1">
      <alignment horizontal="centerContinuous"/>
    </xf>
    <xf numFmtId="0" fontId="2" fillId="8" borderId="0" xfId="0" applyFont="1" applyFill="1" applyAlignment="1">
      <alignment horizontal="centerContinuous"/>
    </xf>
    <xf numFmtId="0" fontId="2" fillId="9" borderId="0" xfId="0" applyFont="1" applyFill="1" applyAlignment="1">
      <alignment horizontal="centerContinuous"/>
    </xf>
    <xf numFmtId="9" fontId="0" fillId="0" borderId="0" xfId="0" applyNumberFormat="1"/>
    <xf numFmtId="0" fontId="0" fillId="0" borderId="0" xfId="0" applyAlignment="1">
      <alignment wrapText="1"/>
    </xf>
    <xf numFmtId="1" fontId="0" fillId="0" borderId="0" xfId="1" applyNumberFormat="1" applyFont="1"/>
    <xf numFmtId="164" fontId="0" fillId="0" borderId="0" xfId="0" applyNumberFormat="1" applyAlignment="1">
      <alignment wrapText="1"/>
    </xf>
  </cellXfs>
  <cellStyles count="3">
    <cellStyle name="Currency" xfId="1" builtinId="4"/>
    <cellStyle name="Normal" xfId="0" builtinId="0"/>
    <cellStyle name="Percent" xfId="2" builtinId="5"/>
  </cellStyles>
  <dxfs count="22"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</dxf>
    <dxf>
      <numFmt numFmtId="164" formatCode="_(&quot;$&quot;* #,##0_);_(&quot;$&quot;* \(#,##0\);_(&quot;$&quot;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7.xml"/><Relationship Id="rId13" Type="http://schemas.openxmlformats.org/officeDocument/2006/relationships/calcChain" Target="calcChain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sheetMetadata" Target="metadata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4.xml"/><Relationship Id="rId10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theme" Target="theme/theme1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EVM Concepts - Program</a:t>
            </a:r>
            <a:r>
              <a:rPr lang="en-US" baseline="0"/>
              <a:t> Baseline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159719099511103"/>
          <c:y val="6.7201727724733831E-2"/>
          <c:w val="0.81820575992006728"/>
          <c:h val="0.76956862351179955"/>
        </c:manualLayout>
      </c:layout>
      <c:scatterChart>
        <c:scatterStyle val="lineMarker"/>
        <c:varyColors val="0"/>
        <c:ser>
          <c:idx val="0"/>
          <c:order val="2"/>
          <c:tx>
            <c:v>Planned Value</c:v>
          </c:tx>
          <c:spPr>
            <a:ln w="12700">
              <a:solidFill>
                <a:srgbClr val="FF0000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'Chart Data'!$E$3:$E$27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  <c:extLst xmlns:c15="http://schemas.microsoft.com/office/drawing/2012/chart"/>
            </c:numRef>
          </c:xVal>
          <c:yVal>
            <c:numRef>
              <c:f>'Chart Data'!$F$3:$F$27</c:f>
              <c:numCache>
                <c:formatCode>_("$"* #,##0_);_("$"* \(#,##0\);_("$"* "-"??_);_(@_)</c:formatCode>
                <c:ptCount val="25"/>
                <c:pt idx="0">
                  <c:v>0</c:v>
                </c:pt>
                <c:pt idx="1">
                  <c:v>347097.34666395112</c:v>
                </c:pt>
                <c:pt idx="2">
                  <c:v>869063.31807220192</c:v>
                </c:pt>
                <c:pt idx="3">
                  <c:v>1650545.6099969603</c:v>
                </c:pt>
                <c:pt idx="4">
                  <c:v>2812886.9401066336</c:v>
                </c:pt>
                <c:pt idx="5">
                  <c:v>4524862.6818683473</c:v>
                </c:pt>
                <c:pt idx="6">
                  <c:v>7010371.6545108147</c:v>
                </c:pt>
                <c:pt idx="7">
                  <c:v>10544593.489371434</c:v>
                </c:pt>
                <c:pt idx="8">
                  <c:v>15424087.634018205</c:v>
                </c:pt>
                <c:pt idx="9">
                  <c:v>21893792.569775846</c:v>
                </c:pt>
                <c:pt idx="10">
                  <c:v>30026715.167758327</c:v>
                </c:pt>
                <c:pt idx="11">
                  <c:v>39592149.822794147</c:v>
                </c:pt>
                <c:pt idx="12">
                  <c:v>49999999.999999993</c:v>
                </c:pt>
                <c:pt idx="13">
                  <c:v>60407850.177205808</c:v>
                </c:pt>
                <c:pt idx="14">
                  <c:v>69973284.832241684</c:v>
                </c:pt>
                <c:pt idx="15">
                  <c:v>78106207.430224136</c:v>
                </c:pt>
                <c:pt idx="16">
                  <c:v>84575912.365981773</c:v>
                </c:pt>
                <c:pt idx="17">
                  <c:v>89455406.510628566</c:v>
                </c:pt>
                <c:pt idx="18">
                  <c:v>92989628.345489189</c:v>
                </c:pt>
                <c:pt idx="19">
                  <c:v>95475137.318131626</c:v>
                </c:pt>
                <c:pt idx="20">
                  <c:v>97187113.05989337</c:v>
                </c:pt>
                <c:pt idx="21">
                  <c:v>98349454.390003026</c:v>
                </c:pt>
                <c:pt idx="22">
                  <c:v>99130936.681927785</c:v>
                </c:pt>
                <c:pt idx="23">
                  <c:v>99652902.653336033</c:v>
                </c:pt>
                <c:pt idx="24">
                  <c:v>100000000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D07B-4A0F-BF1F-68C7F264BE27}"/>
            </c:ext>
          </c:extLst>
        </c:ser>
        <c:ser>
          <c:idx val="3"/>
          <c:order val="7"/>
          <c:tx>
            <c:v>Baseline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AA575C2-FEE9-40E7-84F5-5491191E5DB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D07B-4A0F-BF1F-68C7F264BE27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0885F220-56B8-4C4A-8FDE-62D48FE324C3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99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D07B-4A0F-BF1F-68C7F264BE2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3CF06E4-7EA4-48A5-A409-9C63808888F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D07B-4A0F-BF1F-68C7F264BE27}"/>
                </c:ext>
              </c:extLst>
            </c:dLbl>
            <c:dLbl>
              <c:idx val="3"/>
              <c:tx>
                <c:rich>
                  <a:bodyPr rot="5400000" vertOverflow="clip" horzOverflow="clip" vert="horz" wrap="square" lIns="38100" tIns="19050" rIns="38100" bIns="19050" anchor="t" anchorCtr="0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0CD0D4CB-B153-40E9-8EE7-66C2A3EC3B6B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D07B-4A0F-BF1F-68C7F264BE27}"/>
                </c:ext>
              </c:extLst>
            </c:dLbl>
            <c:dLbl>
              <c:idx val="4"/>
              <c:tx>
                <c:rich>
                  <a:bodyPr rot="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D07B-4A0F-BF1F-68C7F264BE27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Data'!$AN$3:$AN$7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xVal>
          <c:yVal>
            <c:numRef>
              <c:f>'Chart Data'!$AO$3:$AO$7</c:f>
              <c:numCache>
                <c:formatCode>_("$"* #,##0_);_("$"* \(#,##0\);_("$"* "-"??_);_(@_)</c:formatCode>
                <c:ptCount val="5"/>
                <c:pt idx="0">
                  <c:v>100000000</c:v>
                </c:pt>
                <c:pt idx="1">
                  <c:v>100000000</c:v>
                </c:pt>
                <c:pt idx="2">
                  <c:v>100000000</c:v>
                </c:pt>
                <c:pt idx="3">
                  <c:v>50000000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Data'!$AM$3:$AM$6</c15:f>
                <c15:dlblRangeCache>
                  <c:ptCount val="4"/>
                  <c:pt idx="1">
                    <c:v>Budget At Completion</c:v>
                  </c:pt>
                  <c:pt idx="3">
                    <c:v>Planned Completion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D07B-4A0F-BF1F-68C7F264B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809807"/>
        <c:axId val="1052780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Actual Cost</c:v>
                </c:tx>
                <c:spPr>
                  <a:ln w="12700">
                    <a:solidFill>
                      <a:schemeClr val="accent3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'Chart Data'!$L$3:$L$33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1421622.7547118734</c:v>
                      </c:pt>
                      <c:pt idx="2">
                        <c:v>3118418.5797024793</c:v>
                      </c:pt>
                      <c:pt idx="3">
                        <c:v>5134061.7544289101</c:v>
                      </c:pt>
                      <c:pt idx="4">
                        <c:v>7515012.0934158238</c:v>
                      </c:pt>
                      <c:pt idx="5">
                        <c:v>10308826.551028855</c:v>
                      </c:pt>
                      <c:pt idx="6">
                        <c:v>13561618.082506869</c:v>
                      </c:pt>
                      <c:pt idx="7">
                        <c:v>17314562.952971365</c:v>
                      </c:pt>
                      <c:pt idx="8">
                        <c:v>21599479.306924</c:v>
                      </c:pt>
                      <c:pt idx="9">
                        <c:v>26433696.950413063</c:v>
                      </c:pt>
                      <c:pt idx="10">
                        <c:v>31814701.237123687</c:v>
                      </c:pt>
                      <c:pt idx="11">
                        <c:v>37715317.687306345</c:v>
                      </c:pt>
                      <c:pt idx="12">
                        <c:v>44080421.651255101</c:v>
                      </c:pt>
                      <c:pt idx="13">
                        <c:v>50826193.926843315</c:v>
                      </c:pt>
                      <c:pt idx="14">
                        <c:v>57842697.729863882</c:v>
                      </c:pt>
                      <c:pt idx="15">
                        <c:v>64999999.999999985</c:v>
                      </c:pt>
                      <c:pt idx="16">
                        <c:v>72157302.270136088</c:v>
                      </c:pt>
                      <c:pt idx="17">
                        <c:v>79173806.073156655</c:v>
                      </c:pt>
                      <c:pt idx="18">
                        <c:v>85919578.348744884</c:v>
                      </c:pt>
                      <c:pt idx="19">
                        <c:v>92284682.312693626</c:v>
                      </c:pt>
                      <c:pt idx="20">
                        <c:v>98185298.762876287</c:v>
                      </c:pt>
                      <c:pt idx="21">
                        <c:v>103566303.04958689</c:v>
                      </c:pt>
                      <c:pt idx="22">
                        <c:v>108400520.69307597</c:v>
                      </c:pt>
                      <c:pt idx="23">
                        <c:v>112685437.04702863</c:v>
                      </c:pt>
                      <c:pt idx="24">
                        <c:v>116438381.91749313</c:v>
                      </c:pt>
                      <c:pt idx="25">
                        <c:v>119691173.44897111</c:v>
                      </c:pt>
                      <c:pt idx="26" formatCode="General">
                        <c:v>122484987.90658414</c:v>
                      </c:pt>
                      <c:pt idx="27" formatCode="General">
                        <c:v>124865938.24557108</c:v>
                      </c:pt>
                      <c:pt idx="28" formatCode="General">
                        <c:v>126881581.42029749</c:v>
                      </c:pt>
                      <c:pt idx="29" formatCode="General">
                        <c:v>128578377.24528812</c:v>
                      </c:pt>
                      <c:pt idx="30" formatCode="General">
                        <c:v>130000000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9-D07B-4A0F-BF1F-68C7F264BE27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Earned Value</c:v>
                </c:tx>
                <c:spPr>
                  <a:ln w="12700"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Data'!$K$3:$K$33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1478455.6243997603</c:v>
                      </c:pt>
                      <c:pt idx="2">
                        <c:v>3174155.8634039946</c:v>
                      </c:pt>
                      <c:pt idx="3">
                        <c:v>5109699.1571174189</c:v>
                      </c:pt>
                      <c:pt idx="4">
                        <c:v>7306928.251828202</c:v>
                      </c:pt>
                      <c:pt idx="5">
                        <c:v>9785751.0093946029</c:v>
                      </c:pt>
                      <c:pt idx="6">
                        <c:v>12562701.762166522</c:v>
                      </c:pt>
                      <c:pt idx="7">
                        <c:v>15649287.697149307</c:v>
                      </c:pt>
                      <c:pt idx="8">
                        <c:v>19050213.950931884</c:v>
                      </c:pt>
                      <c:pt idx="9">
                        <c:v>22761636.822139148</c:v>
                      </c:pt>
                      <c:pt idx="10">
                        <c:v>26769647.004476327</c:v>
                      </c:pt>
                      <c:pt idx="11">
                        <c:v>31049219.71925937</c:v>
                      </c:pt>
                      <c:pt idx="12">
                        <c:v>35563869.744324185</c:v>
                      </c:pt>
                      <c:pt idx="13">
                        <c:v>40266203.122053586</c:v>
                      </c:pt>
                      <c:pt idx="14">
                        <c:v>45099459.51346156</c:v>
                      </c:pt>
                      <c:pt idx="15">
                        <c:v>49999999.999999993</c:v>
                      </c:pt>
                      <c:pt idx="16">
                        <c:v>54900540.486538425</c:v>
                      </c:pt>
                      <c:pt idx="17">
                        <c:v>59733796.877946407</c:v>
                      </c:pt>
                      <c:pt idx="18">
                        <c:v>64436130.2556758</c:v>
                      </c:pt>
                      <c:pt idx="19">
                        <c:v>68950780.280740604</c:v>
                      </c:pt>
                      <c:pt idx="20">
                        <c:v>73230352.995523646</c:v>
                      </c:pt>
                      <c:pt idx="21">
                        <c:v>77238363.177860841</c:v>
                      </c:pt>
                      <c:pt idx="22">
                        <c:v>80949786.049068078</c:v>
                      </c:pt>
                      <c:pt idx="23">
                        <c:v>84350712.302850679</c:v>
                      </c:pt>
                      <c:pt idx="24">
                        <c:v>87437298.23783347</c:v>
                      </c:pt>
                      <c:pt idx="25">
                        <c:v>90214248.990605384</c:v>
                      </c:pt>
                      <c:pt idx="26">
                        <c:v>92693071.748171791</c:v>
                      </c:pt>
                      <c:pt idx="27">
                        <c:v>94890300.842882559</c:v>
                      </c:pt>
                      <c:pt idx="28">
                        <c:v>96825844.136595994</c:v>
                      </c:pt>
                      <c:pt idx="29">
                        <c:v>98521544.375600234</c:v>
                      </c:pt>
                      <c:pt idx="30">
                        <c:v>100000000.00000001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D07B-4A0F-BF1F-68C7F264BE27}"/>
                  </c:ext>
                </c:extLst>
              </c15:ser>
            </c15:filteredScatterSeries>
            <c15:filteredScatterSeries>
              <c15:ser>
                <c:idx val="4"/>
                <c:order val="3"/>
                <c:tx>
                  <c:v>Actual Now</c:v>
                </c:tx>
                <c:spPr>
                  <a:ln w="19050">
                    <a:solidFill>
                      <a:schemeClr val="accent3"/>
                    </a:solidFill>
                    <a:prstDash val="sysDash"/>
                  </a:ln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1-D07B-4A0F-BF1F-68C7F264BE27}"/>
                      </c:ext>
                    </c:extLst>
                  </c:dLbl>
                  <c:dLbl>
                    <c:idx val="1"/>
                    <c:tx>
                      <c:rich>
                        <a:bodyPr wrap="none" lIns="0" tIns="0" rIns="0" bIns="0" anchor="ctr">
                          <a:spAutoFit/>
                        </a:bodyPr>
                        <a:lstStyle/>
                        <a:p>
                          <a:pPr>
                            <a:defRPr sz="1100">
                              <a:latin typeface="Arial Nova Light" panose="020B0304020202020204" pitchFamily="34" charset="0"/>
                              <a:cs typeface="Arial" panose="020B0604020202020204" pitchFamily="34" charset="0"/>
                            </a:defRPr>
                          </a:pPr>
                          <a:fld id="{449247CE-76FE-401E-BF71-92FAA3E2E531}" type="CELLRANGE">
                            <a:rPr lang="en-US"/>
                            <a:pPr>
                              <a:defRPr sz="1100">
                                <a:latin typeface="Arial Nova Light" panose="020B0304020202020204" pitchFamily="34" charset="0"/>
                                <a:cs typeface="Arial" panose="020B0604020202020204" pitchFamily="34" charset="0"/>
                              </a:defRPr>
                            </a:pPr>
                            <a:t>[CELLRANGE]</a:t>
                          </a:fld>
                          <a:endParaRPr lang="en-US"/>
                        </a:p>
                      </c:rich>
                    </c:tx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spPr xmlns:c15="http://schemas.microsoft.com/office/drawing/2012/chart">
                          <a:prstGeom prst="rect">
                            <a:avLst/>
                          </a:prstGeom>
                        </c15:spPr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2-D07B-4A0F-BF1F-68C7F264BE27}"/>
                      </c:ext>
                    </c:extLst>
                  </c:dLbl>
                  <c:dLbl>
                    <c:idx val="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3-D07B-4A0F-BF1F-68C7F264BE27}"/>
                      </c:ext>
                    </c:extLst>
                  </c:dLbl>
                  <c:dLbl>
                    <c:idx val="3"/>
                    <c:tx>
                      <c:rich>
                        <a:bodyPr rot="5400000" vert="horz" wrap="none" lIns="0" tIns="0" rIns="0" bIns="0" anchor="ctr">
                          <a:spAutoFit/>
                        </a:bodyPr>
                        <a:lstStyle/>
                        <a:p>
                          <a:pPr>
                            <a:defRPr sz="1100">
                              <a:latin typeface="Arial Nova Light" panose="020B0304020202020204" pitchFamily="34" charset="0"/>
                            </a:defRPr>
                          </a:pPr>
                          <a:fld id="{4ADF25BD-417F-46FE-813B-B737DF2AA369}" type="CELLRANGE">
                            <a:rPr lang="en-US"/>
                            <a:pPr>
                              <a:defRPr sz="1100">
                                <a:latin typeface="Arial Nova Light" panose="020B0304020202020204" pitchFamily="34" charset="0"/>
                              </a:defRPr>
                            </a:pPr>
                            <a:t>[CELLRANGE]</a:t>
                          </a:fld>
                          <a:endParaRPr lang="en-US"/>
                        </a:p>
                      </c:rich>
                    </c:tx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spPr xmlns:c15="http://schemas.microsoft.com/office/drawing/2012/chart">
                          <a:prstGeom prst="rect">
                            <a:avLst/>
                          </a:prstGeom>
                        </c15:spPr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4-D07B-4A0F-BF1F-68C7F264BE27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5-D07B-4A0F-BF1F-68C7F264BE27}"/>
                      </c:ext>
                    </c:extLst>
                  </c:dLbl>
                  <c:spPr>
                    <a:solidFill>
                      <a:schemeClr val="bg1">
                        <a:alpha val="7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wrap="none" lIns="0" tIns="0" rIns="0" bIns="0" anchor="ctr">
                      <a:spAutoFit/>
                    </a:bodyPr>
                    <a:lstStyle/>
                    <a:p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Data'!$AR$3:$AR$7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7.5</c:v>
                      </c:pt>
                      <c:pt idx="2">
                        <c:v>15</c:v>
                      </c:pt>
                      <c:pt idx="3">
                        <c:v>15</c:v>
                      </c:pt>
                      <c:pt idx="4">
                        <c:v>15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Data'!$AS$3:$AS$7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64999999.999999985</c:v>
                      </c:pt>
                      <c:pt idx="1">
                        <c:v>64999999.999999985</c:v>
                      </c:pt>
                      <c:pt idx="2">
                        <c:v>64999999.999999985</c:v>
                      </c:pt>
                      <c:pt idx="3">
                        <c:v>16000000</c:v>
                      </c:pt>
                      <c:pt idx="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Data'!$AQ$3:$AQ$7</c15:f>
                      <c15:dlblRangeCache>
                        <c:ptCount val="5"/>
                        <c:pt idx="1">
                          <c:v>Actual Cost to Date</c:v>
                        </c:pt>
                        <c:pt idx="3">
                          <c:v>Status Date</c:v>
                        </c:pt>
                        <c:pt idx="4">
                          <c:v>15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6-D07B-4A0F-BF1F-68C7F264BE27}"/>
                  </c:ext>
                </c:extLst>
              </c15:ser>
            </c15:filteredScatterSeries>
            <c15:filteredScatterSeries>
              <c15:ser>
                <c:idx val="5"/>
                <c:order val="4"/>
                <c:tx>
                  <c:v>Earned Schedule</c:v>
                </c:tx>
                <c:spPr>
                  <a:ln w="19050">
                    <a:solidFill>
                      <a:schemeClr val="accent1"/>
                    </a:solidFill>
                    <a:prstDash val="sysDash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4E93DF39-CBBE-406A-A953-F69AE2DC2075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7-D07B-4A0F-BF1F-68C7F264BE27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1C911499-1061-4DEB-963A-DF7854102E4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separator> </c:separator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8-D07B-4A0F-BF1F-68C7F264BE27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789A1843-03EC-42A6-B01A-A1284AE7A81F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9-D07B-4A0F-BF1F-68C7F264BE27}"/>
                      </c:ext>
                    </c:extLst>
                  </c:dLbl>
                  <c:dLbl>
                    <c:idx val="3"/>
                    <c:tx>
                      <c:rich>
                        <a:bodyPr/>
                        <a:lstStyle/>
                        <a:p>
                          <a:fld id="{06792384-9526-49DB-B0DC-AC1317B4CD34}" type="CELLRANGE">
                            <a:rPr lang="en-US"/>
                            <a:pPr/>
                            <a:t>[CELLRANGE]</a:t>
                          </a:fld>
                          <a:r>
                            <a:rPr lang="en-US" baseline="0"/>
                            <a:t>, </a:t>
                          </a:r>
                          <a:fld id="{EBDDEF60-2ADE-4835-90D1-F086884295AB}" type="XVALUE">
                            <a:rPr lang="en-US" baseline="0"/>
                            <a:pPr/>
                            <a:t>[X VALUE]</a:t>
                          </a:fld>
                          <a:endParaRPr lang="en-US" baseline="0"/>
                        </a:p>
                      </c:rich>
                    </c:tx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A-D07B-4A0F-BF1F-68C7F264BE27}"/>
                      </c:ext>
                    </c:extLst>
                  </c:dLbl>
                  <c:dLbl>
                    <c:idx val="4"/>
                    <c:numFmt formatCode="#,##0.0" sourceLinked="0"/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txPr>
                      <a:bodyPr wrap="square" lIns="38100" tIns="19050" rIns="38100" bIns="19050" anchor="ctr">
                        <a:spAutoFit/>
                      </a:bodyPr>
                      <a:lstStyle/>
                      <a:p>
                        <a:pPr>
                          <a:defRPr sz="1100">
                            <a:latin typeface="Arial Nova Light" panose="020B0304020202020204" pitchFamily="34" charset="0"/>
                          </a:defRPr>
                        </a:pPr>
                        <a:endParaRPr lang="en-US"/>
                      </a:p>
                    </c:txPr>
                    <c:dLblPos val="b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CBB2-4F83-9E06-BC1C7DC8DC42}"/>
                      </c:ext>
                    </c:extLst>
                  </c:dLbl>
                  <c:spPr>
                    <a:solidFill>
                      <a:schemeClr val="bg1">
                        <a:alpha val="7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1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Data'!$AZ$3:$AZ$7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7.5</c:v>
                      </c:pt>
                      <c:pt idx="2" formatCode="0.00">
                        <c:v>12</c:v>
                      </c:pt>
                      <c:pt idx="3" formatCode="0.00">
                        <c:v>12</c:v>
                      </c:pt>
                      <c:pt idx="4" formatCode="0.00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Data'!$BA$3:$BA$7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49999999.999999993</c:v>
                      </c:pt>
                      <c:pt idx="1">
                        <c:v>49999999.999999993</c:v>
                      </c:pt>
                      <c:pt idx="2">
                        <c:v>49999999.999999993</c:v>
                      </c:pt>
                      <c:pt idx="3">
                        <c:v>16000000</c:v>
                      </c:pt>
                      <c:pt idx="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Data'!$AY$3:$AY$6</c15:f>
                      <c15:dlblRangeCache>
                        <c:ptCount val="4"/>
                        <c:pt idx="1">
                          <c:v>Earned Value to Date</c:v>
                        </c:pt>
                        <c:pt idx="3">
                          <c:v>Earned Schedule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B-D07B-4A0F-BF1F-68C7F264BE27}"/>
                  </c:ext>
                </c:extLst>
              </c15:ser>
            </c15:filteredScatterSeries>
            <c15:filteredScatterSeries>
              <c15:ser>
                <c:idx val="10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Data'!$AQ$17</c15:sqref>
                        </c15:formulaRef>
                      </c:ext>
                    </c:extLst>
                    <c:strCache>
                      <c:ptCount val="1"/>
                      <c:pt idx="0">
                        <c:v>Cumulative Planned Value</c:v>
                      </c:pt>
                    </c:strCache>
                  </c:strRef>
                </c:tx>
                <c:spPr>
                  <a:ln w="19050">
                    <a:solidFill>
                      <a:srgbClr val="FF0000"/>
                    </a:solidFill>
                    <a:prstDash val="sysDash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5F3ED26F-ADD5-4FC5-BDC5-4965F3EABEBB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C-D07B-4A0F-BF1F-68C7F264BE27}"/>
                      </c:ext>
                    </c:extLst>
                  </c:dLbl>
                  <c:dLbl>
                    <c:idx val="1"/>
                    <c:tx>
                      <c:rich>
                        <a:bodyPr vertOverflow="overflow" horzOverflow="overflow" wrap="none" lIns="0" tIns="0" rIns="0" bIns="0" anchor="ctr">
                          <a:noAutofit/>
                        </a:bodyPr>
                        <a:lstStyle/>
                        <a:p>
                          <a:pPr>
                            <a:defRPr sz="1100">
                              <a:latin typeface="Arial Nova Light" panose="020B0304020202020204" pitchFamily="34" charset="0"/>
                            </a:defRPr>
                          </a:pPr>
                          <a:fld id="{74C79BDF-6954-403F-ADBE-679153B9BE49}" type="CELLRANGE">
                            <a:rPr lang="en-US"/>
                            <a:pPr>
                              <a:defRPr sz="1100">
                                <a:latin typeface="Arial Nova Light" panose="020B0304020202020204" pitchFamily="34" charset="0"/>
                              </a:defRPr>
                            </a:pPr>
                            <a:t>[CELLRANGE]</a:t>
                          </a:fld>
                          <a:endParaRPr lang="en-US"/>
                        </a:p>
                      </c:rich>
                    </c:tx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layout>
                          <c:manualLayout>
                            <c:w val="0.1911990337277702"/>
                            <c:h val="3.8307623258198135E-2"/>
                          </c:manualLayout>
                        </c15:layout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D-D07B-4A0F-BF1F-68C7F264BE27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BFBDA09C-99DE-46D2-B2A1-D5CE9935AA30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E-D07B-4A0F-BF1F-68C7F264BE2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Data'!$AR$19:$AR$21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0</c:v>
                      </c:pt>
                      <c:pt idx="1">
                        <c:v>7.5</c:v>
                      </c:pt>
                      <c:pt idx="2" formatCode="0.00">
                        <c:v>15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Data'!$AS$19:$AS$21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78106207.430224136</c:v>
                      </c:pt>
                      <c:pt idx="1">
                        <c:v>78106207.430224136</c:v>
                      </c:pt>
                      <c:pt idx="2">
                        <c:v>78106207.430224136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Data'!$AQ$19:$AQ$21</c15:f>
                      <c15:dlblRangeCache>
                        <c:ptCount val="3"/>
                        <c:pt idx="1">
                          <c:v>Planned Value to Date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F-D07B-4A0F-BF1F-68C7F264BE27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EV(Now)=PV(ES)</c:v>
                </c:tx>
                <c:spPr>
                  <a:ln w="25400">
                    <a:solidFill>
                      <a:schemeClr val="tx1"/>
                    </a:solidFill>
                    <a:tailEnd type="triangle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Data'!$AZ$11:$AZ$12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15</c:v>
                      </c:pt>
                      <c:pt idx="1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Data'!$BA$11:$BA$12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46999999.999999993</c:v>
                      </c:pt>
                      <c:pt idx="1">
                        <c:v>46999999.999999993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D07B-4A0F-BF1F-68C7F264BE27}"/>
                  </c:ext>
                </c:extLst>
              </c15:ser>
            </c15:filteredScatterSeries>
            <c15:filteredScatterSeries>
              <c15:ser>
                <c:idx val="7"/>
                <c:order val="8"/>
                <c:tx>
                  <c:v>Final Actuals</c:v>
                </c:tx>
                <c:spPr>
                  <a:ln w="19050">
                    <a:solidFill>
                      <a:srgbClr val="00B050"/>
                    </a:solidFill>
                    <a:prstDash val="lgDash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50729476-A130-4BF1-8FC0-2E766D436A4A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7-D07B-4A0F-BF1F-68C7F264BE27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FACCDFEC-F329-4356-AF0F-283660934737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8-D07B-4A0F-BF1F-68C7F264BE27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F4B34367-58C5-4081-A680-8060E5852766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9-D07B-4A0F-BF1F-68C7F264BE27}"/>
                      </c:ext>
                    </c:extLst>
                  </c:dLbl>
                  <c:dLbl>
                    <c:idx val="3"/>
                    <c:tx>
                      <c:rich>
                        <a:bodyPr rot="5400000" vert="horz" wrap="square" lIns="38100" tIns="19050" rIns="38100" bIns="19050" anchor="ctr">
                          <a:spAutoFit/>
                        </a:bodyPr>
                        <a:lstStyle/>
                        <a:p>
                          <a:pPr>
                            <a:defRPr sz="1100">
                              <a:latin typeface="Arial Nova Light" panose="020B0304020202020204" pitchFamily="34" charset="0"/>
                            </a:defRPr>
                          </a:pPr>
                          <a:fld id="{EB1175B7-A92D-445E-B3A2-624C4D867BF2}" type="CELLRANGE">
                            <a:rPr lang="en-US"/>
                            <a:pPr>
                              <a:defRPr sz="1100">
                                <a:latin typeface="Arial Nova Light" panose="020B0304020202020204" pitchFamily="34" charset="0"/>
                              </a:defRPr>
                            </a:pPr>
                            <a:t>[CELLRANGE]</a:t>
                          </a:fld>
                          <a:endParaRPr lang="en-US"/>
                        </a:p>
                      </c:rich>
                    </c:tx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A-D07B-4A0F-BF1F-68C7F264BE27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C9C7AFA6-AFDA-489D-BEA1-E95C878FB7C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B-D07B-4A0F-BF1F-68C7F264BE27}"/>
                      </c:ext>
                    </c:extLst>
                  </c:dLbl>
                  <c:spPr>
                    <a:solidFill>
                      <a:schemeClr val="bg1">
                        <a:alpha val="7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Data'!$BD$3:$BD$7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15</c:v>
                      </c:pt>
                      <c:pt idx="2">
                        <c:v>30</c:v>
                      </c:pt>
                      <c:pt idx="3">
                        <c:v>30</c:v>
                      </c:pt>
                      <c:pt idx="4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Data'!$BE$3:$BE$7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130000000</c:v>
                      </c:pt>
                      <c:pt idx="1">
                        <c:v>130000000</c:v>
                      </c:pt>
                      <c:pt idx="2">
                        <c:v>130000000</c:v>
                      </c:pt>
                      <c:pt idx="3">
                        <c:v>65000000</c:v>
                      </c:pt>
                      <c:pt idx="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Data'!$BC$3:$BC$7</c15:f>
                      <c15:dlblRangeCache>
                        <c:ptCount val="5"/>
                        <c:pt idx="1">
                          <c:v>Final Cost</c:v>
                        </c:pt>
                        <c:pt idx="3">
                          <c:v>Final Duration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1C-D07B-4A0F-BF1F-68C7F264BE27}"/>
                  </c:ext>
                </c:extLst>
              </c15:ser>
            </c15:filteredScatterSeries>
            <c15:filteredScatterSeries>
              <c15:ser>
                <c:idx val="8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Data'!$AU$1</c15:sqref>
                        </c15:formulaRef>
                      </c:ext>
                    </c:extLst>
                    <c:strCache>
                      <c:ptCount val="1"/>
                      <c:pt idx="0">
                        <c:v>Cost Variance</c:v>
                      </c:pt>
                    </c:strCache>
                  </c:strRef>
                </c:tx>
                <c:spPr>
                  <a:ln w="12700">
                    <a:solidFill>
                      <a:schemeClr val="tx1"/>
                    </a:solidFill>
                    <a:prstDash val="sysDot"/>
                    <a:headEnd type="arrow"/>
                    <a:tailEnd type="arrow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BE534160-C425-4621-ACA3-D6381736D26A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D-D07B-4A0F-BF1F-68C7F264BE27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B5572F26-FAE5-4F6C-8604-B69F84E7C1D4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E-D07B-4A0F-BF1F-68C7F264BE27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152FCAB5-CF13-49DE-BBE6-570107EDD0C0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F-D07B-4A0F-BF1F-68C7F264BE27}"/>
                      </c:ext>
                    </c:extLst>
                  </c:dLbl>
                  <c:spPr>
                    <a:solidFill>
                      <a:schemeClr val="bg1">
                        <a:alpha val="75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vertOverflow="clip" horzOverflow="clip" wrap="none" lIns="0" tIns="0" rIns="0" bIns="0" anchor="ctr">
                      <a:spAutoFit/>
                    </a:bodyPr>
                    <a:lstStyle/>
                    <a:p>
                      <a:pPr>
                        <a:defRPr sz="8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Data'!$AV$3:$AV$5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1.5</c:v>
                      </c:pt>
                      <c:pt idx="1">
                        <c:v>1.5</c:v>
                      </c:pt>
                      <c:pt idx="2">
                        <c:v>1.5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Data'!$AW$3:$AW$5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64999999.999999985</c:v>
                      </c:pt>
                      <c:pt idx="1">
                        <c:v>57499999.999999985</c:v>
                      </c:pt>
                      <c:pt idx="2">
                        <c:v>49999999.999999993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Data'!$AU$3:$AU$5</c15:f>
                      <c15:dlblRangeCache>
                        <c:ptCount val="3"/>
                        <c:pt idx="1">
                          <c:v>CV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0-D07B-4A0F-BF1F-68C7F264BE27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Data'!$AU$7</c15:sqref>
                        </c15:formulaRef>
                      </c:ext>
                    </c:extLst>
                    <c:strCache>
                      <c:ptCount val="1"/>
                      <c:pt idx="0">
                        <c:v>Schedule Variance</c:v>
                      </c:pt>
                    </c:strCache>
                  </c:strRef>
                </c:tx>
                <c:spPr>
                  <a:ln w="12700">
                    <a:solidFill>
                      <a:schemeClr val="tx1"/>
                    </a:solidFill>
                    <a:prstDash val="sysDot"/>
                    <a:headEnd type="arrow"/>
                    <a:tailEnd type="arrow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13BC33FF-F95F-48F1-9B45-87D4F3267042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1-D07B-4A0F-BF1F-68C7F264BE27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8714702F-6D4B-4DDD-9FC3-8D2645E96370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2-D07B-4A0F-BF1F-68C7F264BE27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0B24BD7A-B453-4119-9E3C-6E6DE86DB5E8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3-D07B-4A0F-BF1F-68C7F264BE27}"/>
                      </c:ext>
                    </c:extLst>
                  </c:dLbl>
                  <c:spPr>
                    <a:solidFill>
                      <a:schemeClr val="bg1">
                        <a:alpha val="75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vertOverflow="clip" horzOverflow="clip" wrap="none" lIns="0" tIns="0" rIns="0" bIns="0" anchor="ctr">
                      <a:spAutoFit/>
                    </a:bodyPr>
                    <a:lstStyle/>
                    <a:p>
                      <a:pPr>
                        <a:defRPr sz="8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Data'!$AV$9:$AV$11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Data'!$AW$9:$AW$11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78106207.430224136</c:v>
                      </c:pt>
                      <c:pt idx="1">
                        <c:v>64053103.71511206</c:v>
                      </c:pt>
                      <c:pt idx="2">
                        <c:v>49999999.999999993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Data'!$AU$9:$AU$11</c15:f>
                      <c15:dlblRangeCache>
                        <c:ptCount val="3"/>
                        <c:pt idx="1">
                          <c:v>SV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4-D07B-4A0F-BF1F-68C7F264BE27}"/>
                  </c:ext>
                </c:extLst>
              </c15:ser>
            </c15:filteredScatterSeries>
            <c15:filteredScatterSeries>
              <c15:ser>
                <c:idx val="11"/>
                <c:order val="11"/>
                <c:tx>
                  <c:v>Actual Cost to Date</c:v>
                </c:tx>
                <c:spPr>
                  <a:ln w="12700">
                    <a:solidFill>
                      <a:schemeClr val="accent3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Data'!$S$3:$S$33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Data'!$V$3:$V$33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1421622.7547118734</c:v>
                      </c:pt>
                      <c:pt idx="2">
                        <c:v>3118418.5797024793</c:v>
                      </c:pt>
                      <c:pt idx="3">
                        <c:v>5134061.7544289101</c:v>
                      </c:pt>
                      <c:pt idx="4">
                        <c:v>7515012.0934158238</c:v>
                      </c:pt>
                      <c:pt idx="5">
                        <c:v>10308826.551028855</c:v>
                      </c:pt>
                      <c:pt idx="6">
                        <c:v>13561618.082506869</c:v>
                      </c:pt>
                      <c:pt idx="7">
                        <c:v>17314562.952971365</c:v>
                      </c:pt>
                      <c:pt idx="8">
                        <c:v>21599479.306924</c:v>
                      </c:pt>
                      <c:pt idx="9">
                        <c:v>26433696.950413063</c:v>
                      </c:pt>
                      <c:pt idx="10">
                        <c:v>31814701.237123687</c:v>
                      </c:pt>
                      <c:pt idx="11">
                        <c:v>37715317.687306345</c:v>
                      </c:pt>
                      <c:pt idx="12">
                        <c:v>44080421.651255101</c:v>
                      </c:pt>
                      <c:pt idx="13">
                        <c:v>50826193.926843315</c:v>
                      </c:pt>
                      <c:pt idx="14">
                        <c:v>57842697.729863882</c:v>
                      </c:pt>
                      <c:pt idx="15">
                        <c:v>64999999.999999985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5-D07B-4A0F-BF1F-68C7F264BE27}"/>
                  </c:ext>
                </c:extLst>
              </c15:ser>
            </c15:filteredScatterSeries>
            <c15:filteredScatterSeries>
              <c15:ser>
                <c:idx val="12"/>
                <c:order val="12"/>
                <c:tx>
                  <c:v>Earned Value to Date</c:v>
                </c:tx>
                <c:spPr>
                  <a:ln w="12700">
                    <a:solidFill>
                      <a:srgbClr val="00206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Data'!$S$3:$S$33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Data'!$U$3:$U$33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1478455.6243997603</c:v>
                      </c:pt>
                      <c:pt idx="2">
                        <c:v>3174155.8634039946</c:v>
                      </c:pt>
                      <c:pt idx="3">
                        <c:v>5109699.1571174189</c:v>
                      </c:pt>
                      <c:pt idx="4">
                        <c:v>7306928.251828202</c:v>
                      </c:pt>
                      <c:pt idx="5">
                        <c:v>9785751.0093946029</c:v>
                      </c:pt>
                      <c:pt idx="6">
                        <c:v>12562701.762166522</c:v>
                      </c:pt>
                      <c:pt idx="7">
                        <c:v>15649287.697149307</c:v>
                      </c:pt>
                      <c:pt idx="8">
                        <c:v>19050213.950931884</c:v>
                      </c:pt>
                      <c:pt idx="9">
                        <c:v>22761636.822139148</c:v>
                      </c:pt>
                      <c:pt idx="10">
                        <c:v>26769647.004476327</c:v>
                      </c:pt>
                      <c:pt idx="11">
                        <c:v>31049219.71925937</c:v>
                      </c:pt>
                      <c:pt idx="12">
                        <c:v>35563869.744324185</c:v>
                      </c:pt>
                      <c:pt idx="13">
                        <c:v>40266203.122053586</c:v>
                      </c:pt>
                      <c:pt idx="14">
                        <c:v>45099459.51346156</c:v>
                      </c:pt>
                      <c:pt idx="15">
                        <c:v>49999999.999999993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6-D07B-4A0F-BF1F-68C7F264BE27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Planned Value to Date</c:v>
                </c:tx>
                <c:spPr>
                  <a:ln w="12700">
                    <a:solidFill>
                      <a:srgbClr val="C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Data'!$S$3:$S$33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Data'!$T$3:$T$33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347097.34666395112</c:v>
                      </c:pt>
                      <c:pt idx="2">
                        <c:v>869063.31807220192</c:v>
                      </c:pt>
                      <c:pt idx="3">
                        <c:v>1650545.6099969603</c:v>
                      </c:pt>
                      <c:pt idx="4">
                        <c:v>2812886.9401066336</c:v>
                      </c:pt>
                      <c:pt idx="5">
                        <c:v>4524862.6818683473</c:v>
                      </c:pt>
                      <c:pt idx="6">
                        <c:v>7010371.6545108147</c:v>
                      </c:pt>
                      <c:pt idx="7">
                        <c:v>10544593.489371434</c:v>
                      </c:pt>
                      <c:pt idx="8">
                        <c:v>15424087.634018205</c:v>
                      </c:pt>
                      <c:pt idx="9">
                        <c:v>21893792.569775846</c:v>
                      </c:pt>
                      <c:pt idx="10">
                        <c:v>30026715.167758327</c:v>
                      </c:pt>
                      <c:pt idx="11">
                        <c:v>39592149.822794147</c:v>
                      </c:pt>
                      <c:pt idx="12">
                        <c:v>49999999.999999993</c:v>
                      </c:pt>
                      <c:pt idx="13">
                        <c:v>60407850.177205808</c:v>
                      </c:pt>
                      <c:pt idx="14">
                        <c:v>69973284.832241684</c:v>
                      </c:pt>
                      <c:pt idx="15">
                        <c:v>78106207.430224136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D07B-4A0F-BF1F-68C7F264BE27}"/>
                  </c:ext>
                </c:extLst>
              </c15:ser>
            </c15:filteredScatterSeries>
            <c15:filteredScatterSeries>
              <c15:ser>
                <c:idx val="14"/>
                <c:order val="14"/>
                <c:tx>
                  <c:v>Future Actual Costs (Unknown)</c:v>
                </c:tx>
                <c:spPr>
                  <a:ln w="12700" cmpd="tri">
                    <a:solidFill>
                      <a:schemeClr val="accent3">
                        <a:lumMod val="50000"/>
                      </a:schemeClr>
                    </a:solidFill>
                    <a:prstDash val="sysDot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Data'!$W$3:$W$33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Data'!$Z$3:$Z$33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64999999.999999985</c:v>
                      </c:pt>
                      <c:pt idx="16">
                        <c:v>72157302.270136088</c:v>
                      </c:pt>
                      <c:pt idx="17">
                        <c:v>79173806.073156655</c:v>
                      </c:pt>
                      <c:pt idx="18">
                        <c:v>85919578.348744884</c:v>
                      </c:pt>
                      <c:pt idx="19">
                        <c:v>92284682.312693626</c:v>
                      </c:pt>
                      <c:pt idx="20">
                        <c:v>98185298.762876287</c:v>
                      </c:pt>
                      <c:pt idx="21">
                        <c:v>103566303.04958689</c:v>
                      </c:pt>
                      <c:pt idx="22">
                        <c:v>108400520.69307597</c:v>
                      </c:pt>
                      <c:pt idx="23">
                        <c:v>112685437.04702863</c:v>
                      </c:pt>
                      <c:pt idx="24">
                        <c:v>116438381.91749313</c:v>
                      </c:pt>
                      <c:pt idx="25">
                        <c:v>119691173.44897111</c:v>
                      </c:pt>
                      <c:pt idx="26">
                        <c:v>122484987.90658414</c:v>
                      </c:pt>
                      <c:pt idx="27">
                        <c:v>124865938.24557108</c:v>
                      </c:pt>
                      <c:pt idx="28">
                        <c:v>126881581.42029749</c:v>
                      </c:pt>
                      <c:pt idx="29">
                        <c:v>128578377.24528812</c:v>
                      </c:pt>
                      <c:pt idx="30">
                        <c:v>130000000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D07B-4A0F-BF1F-68C7F264BE27}"/>
                  </c:ext>
                </c:extLst>
              </c15:ser>
            </c15:filteredScatterSeries>
            <c15:filteredScatterSeries>
              <c15:ser>
                <c:idx val="15"/>
                <c:order val="15"/>
                <c:tx>
                  <c:v>Future Earned Value (Unknown)</c:v>
                </c:tx>
                <c:spPr>
                  <a:ln w="12700">
                    <a:solidFill>
                      <a:schemeClr val="tx2"/>
                    </a:solidFill>
                    <a:prstDash val="sysDot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Data'!$W$3:$W$33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Data'!$Y$3:$Y$33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49999999.999999993</c:v>
                      </c:pt>
                      <c:pt idx="16">
                        <c:v>54900540.486538425</c:v>
                      </c:pt>
                      <c:pt idx="17">
                        <c:v>59733796.877946407</c:v>
                      </c:pt>
                      <c:pt idx="18">
                        <c:v>64436130.2556758</c:v>
                      </c:pt>
                      <c:pt idx="19">
                        <c:v>68950780.280740604</c:v>
                      </c:pt>
                      <c:pt idx="20">
                        <c:v>73230352.995523646</c:v>
                      </c:pt>
                      <c:pt idx="21">
                        <c:v>77238363.177860841</c:v>
                      </c:pt>
                      <c:pt idx="22">
                        <c:v>80949786.049068078</c:v>
                      </c:pt>
                      <c:pt idx="23">
                        <c:v>84350712.302850679</c:v>
                      </c:pt>
                      <c:pt idx="24">
                        <c:v>87437298.23783347</c:v>
                      </c:pt>
                      <c:pt idx="25">
                        <c:v>90214248.990605384</c:v>
                      </c:pt>
                      <c:pt idx="26">
                        <c:v>92693071.748171791</c:v>
                      </c:pt>
                      <c:pt idx="27">
                        <c:v>94890300.842882559</c:v>
                      </c:pt>
                      <c:pt idx="28">
                        <c:v>96825844.136595994</c:v>
                      </c:pt>
                      <c:pt idx="29">
                        <c:v>98521544.375600234</c:v>
                      </c:pt>
                      <c:pt idx="30">
                        <c:v>100000000.00000001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D07B-4A0F-BF1F-68C7F264BE27}"/>
                  </c:ext>
                </c:extLst>
              </c15:ser>
            </c15:filteredScatterSeries>
          </c:ext>
        </c:extLst>
      </c:scatterChart>
      <c:valAx>
        <c:axId val="1052809807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80527"/>
        <c:crosses val="autoZero"/>
        <c:crossBetween val="midCat"/>
      </c:valAx>
      <c:valAx>
        <c:axId val="1052780527"/>
        <c:scaling>
          <c:orientation val="minMax"/>
          <c:max val="12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809807"/>
        <c:crosses val="autoZero"/>
        <c:crossBetween val="midCat"/>
      </c:valAx>
      <c:spPr>
        <a:solidFill>
          <a:schemeClr val="bg1"/>
        </a:solidFill>
      </c:spPr>
    </c:plotArea>
    <c:legend>
      <c:legendPos val="b"/>
      <c:layout>
        <c:manualLayout>
          <c:xMode val="edge"/>
          <c:yMode val="edge"/>
          <c:x val="0.1496024505257193"/>
          <c:y val="0.88114417542595858"/>
          <c:w val="0.76517400709526695"/>
          <c:h val="0.10671709707907488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EVM Concepts - Collected Data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159719099511103"/>
          <c:y val="6.7201727724733831E-2"/>
          <c:w val="0.81820575992006728"/>
          <c:h val="0.76956862351179955"/>
        </c:manualLayout>
      </c:layout>
      <c:scatterChart>
        <c:scatterStyle val="lineMarker"/>
        <c:varyColors val="0"/>
        <c:ser>
          <c:idx val="4"/>
          <c:order val="2"/>
          <c:tx>
            <c:strRef>
              <c:f>'Chart Data'!$AQ$1</c:f>
              <c:strCache>
                <c:ptCount val="1"/>
                <c:pt idx="0">
                  <c:v>Cumulative Actual Cost</c:v>
                </c:pt>
              </c:strCache>
            </c:strRef>
          </c:tx>
          <c:spPr>
            <a:ln w="19050">
              <a:solidFill>
                <a:schemeClr val="accent3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433-4105-AFCB-5A861A8B1ABA}"/>
                </c:ext>
              </c:extLst>
            </c:dLbl>
            <c:dLbl>
              <c:idx val="1"/>
              <c:tx>
                <c:rich>
                  <a:bodyPr wrap="none" lIns="0" tIns="0" rIns="0" bIns="0" anchor="ctr">
                    <a:spAutoFit/>
                  </a:bodyPr>
                  <a:lstStyle/>
                  <a:p>
                    <a:pPr>
                      <a:defRPr sz="1100" b="1">
                        <a:latin typeface="Arial Nova Light" panose="020B0304020202020204" pitchFamily="34" charset="0"/>
                        <a:cs typeface="Arial" panose="020B0604020202020204" pitchFamily="34" charset="0"/>
                      </a:defRPr>
                    </a:pPr>
                    <a:fld id="{F57C2358-BEE6-4D0D-A901-69FB57D89301}" type="CELLRANGE">
                      <a:rPr lang="en-US"/>
                      <a:pPr>
                        <a:defRPr sz="1100" b="1">
                          <a:latin typeface="Arial Nova Light" panose="020B0304020202020204" pitchFamily="34" charset="0"/>
                          <a:cs typeface="Arial" panose="020B06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B433-4105-AFCB-5A861A8B1AB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433-4105-AFCB-5A861A8B1ABA}"/>
                </c:ext>
              </c:extLst>
            </c:dLbl>
            <c:dLbl>
              <c:idx val="3"/>
              <c:tx>
                <c:rich>
                  <a:bodyPr rot="5400000" vert="horz" wrap="none" lIns="0" tIns="0" rIns="0" bIns="0" anchor="ctr">
                    <a:spAutoFit/>
                  </a:bodyPr>
                  <a:lstStyle/>
                  <a:p>
                    <a:pPr>
                      <a:defRPr sz="1100" b="1">
                        <a:latin typeface="Arial Nova Light" panose="020B0304020202020204" pitchFamily="34" charset="0"/>
                      </a:defRPr>
                    </a:pPr>
                    <a:fld id="{1DB6F71A-7E65-4E34-813F-E0E026211D2C}" type="CELLRANGE">
                      <a:rPr lang="en-US"/>
                      <a:pPr>
                        <a:defRPr sz="1100" b="1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B433-4105-AFCB-5A861A8B1AB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433-4105-AFCB-5A861A8B1ABA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none" lIns="0" tIns="0" rIns="0" bIns="0" anchor="ctr">
                <a:spAutoFit/>
              </a:bodyPr>
              <a:lstStyle/>
              <a:p>
                <a:pPr>
                  <a:defRPr sz="1100" b="1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'Chart Data'!$AR$3:$AR$7</c:f>
              <c:numCache>
                <c:formatCode>General</c:formatCode>
                <c:ptCount val="5"/>
                <c:pt idx="0">
                  <c:v>0</c:v>
                </c:pt>
                <c:pt idx="1">
                  <c:v>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</c:numCache>
            </c:numRef>
          </c:xVal>
          <c:yVal>
            <c:numRef>
              <c:f>'Chart Data'!$AS$3:$AS$7</c:f>
              <c:numCache>
                <c:formatCode>General</c:formatCode>
                <c:ptCount val="5"/>
                <c:pt idx="0">
                  <c:v>64999999.999999985</c:v>
                </c:pt>
                <c:pt idx="1">
                  <c:v>64999999.999999985</c:v>
                </c:pt>
                <c:pt idx="2">
                  <c:v>64999999.999999985</c:v>
                </c:pt>
                <c:pt idx="3">
                  <c:v>16000000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Data'!$AQ$3:$AQ$7</c15:f>
                <c15:dlblRangeCache>
                  <c:ptCount val="5"/>
                  <c:pt idx="1">
                    <c:v>Actual Cost to Date</c:v>
                  </c:pt>
                  <c:pt idx="3">
                    <c:v>Status Date</c:v>
                  </c:pt>
                  <c:pt idx="4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B433-4105-AFCB-5A861A8B1ABA}"/>
            </c:ext>
          </c:extLst>
        </c:ser>
        <c:ser>
          <c:idx val="5"/>
          <c:order val="3"/>
          <c:tx>
            <c:strRef>
              <c:f>'Chart Data'!$AQ$9</c:f>
              <c:strCache>
                <c:ptCount val="1"/>
                <c:pt idx="0">
                  <c:v>Cumulative Earned Value</c:v>
                </c:pt>
              </c:strCache>
            </c:strRef>
          </c:tx>
          <c:spPr>
            <a:ln w="19050">
              <a:solidFill>
                <a:schemeClr val="accent1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433-4105-AFCB-5A861A8B1AB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E4423C4-DE3C-46D9-8FE8-6EB22E321F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B433-4105-AFCB-5A861A8B1AB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F249EB1-CA20-4F5C-B5BE-0C12CED79D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B433-4105-AFCB-5A861A8B1AB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433-4105-AFCB-5A861A8B1AB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0EB4E0E-66F6-4244-AB9E-2EFEE030FF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DD9B-4C25-A90C-2EF9675F4950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1" i="0" u="none" strike="noStrike" kern="1200" baseline="0">
                    <a:solidFill>
                      <a:schemeClr val="dk1"/>
                    </a:solidFill>
                    <a:latin typeface="Arial Nova Light" panose="020B03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'Chart Data'!$AR$11:$AR$15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 formatCode="0.00">
                  <c:v>15</c:v>
                </c:pt>
                <c:pt idx="3" formatCode="0.00">
                  <c:v>15</c:v>
                </c:pt>
                <c:pt idx="4" formatCode="0.00">
                  <c:v>15</c:v>
                </c:pt>
              </c:numCache>
            </c:numRef>
          </c:xVal>
          <c:yVal>
            <c:numRef>
              <c:f>'Chart Data'!$AS$11:$AS$15</c:f>
              <c:numCache>
                <c:formatCode>General</c:formatCode>
                <c:ptCount val="5"/>
                <c:pt idx="0">
                  <c:v>50299999.999999993</c:v>
                </c:pt>
                <c:pt idx="1">
                  <c:v>50299999.999999993</c:v>
                </c:pt>
                <c:pt idx="2">
                  <c:v>50299999.999999993</c:v>
                </c:pt>
                <c:pt idx="3">
                  <c:v>16000000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Data'!$AQ$11:$AQ$15</c15:f>
                <c15:dlblRangeCache>
                  <c:ptCount val="5"/>
                  <c:pt idx="1">
                    <c:v>Cumulative Earned Value (Now)</c:v>
                  </c:pt>
                  <c:pt idx="3">
                    <c:v>Status Date</c:v>
                  </c:pt>
                  <c:pt idx="4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B-B433-4105-AFCB-5A861A8B1ABA}"/>
            </c:ext>
          </c:extLst>
        </c:ser>
        <c:ser>
          <c:idx val="10"/>
          <c:order val="4"/>
          <c:tx>
            <c:strRef>
              <c:f>'Chart Data'!$AQ$17</c:f>
              <c:strCache>
                <c:ptCount val="1"/>
                <c:pt idx="0">
                  <c:v>Cumulative Planned Value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9F68F769-285A-4141-88B1-940E400779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B433-4105-AFCB-5A861A8B1ABA}"/>
                </c:ext>
              </c:extLst>
            </c:dLbl>
            <c:dLbl>
              <c:idx val="1"/>
              <c:tx>
                <c:rich>
                  <a:bodyPr vertOverflow="overflow" horzOverflow="overflow" wrap="none" lIns="0" tIns="0" rIns="0" bIns="0" anchor="ctr">
                    <a:noAutofit/>
                  </a:bodyPr>
                  <a:lstStyle/>
                  <a:p>
                    <a:pPr>
                      <a:defRPr sz="1100" b="1">
                        <a:latin typeface="Arial Nova Light" panose="020B0304020202020204" pitchFamily="34" charset="0"/>
                      </a:defRPr>
                    </a:pPr>
                    <a:fld id="{629822B3-98B4-4DDE-8B59-DE88BA3AF2E2}" type="CELLRANGE">
                      <a:rPr lang="en-US"/>
                      <a:pPr>
                        <a:defRPr sz="1100" b="1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11990337277702"/>
                      <c:h val="3.830762325819813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B433-4105-AFCB-5A861A8B1AB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3859B07-283C-43BD-B99D-CFD1809694C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B433-4105-AFCB-5A861A8B1AB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1">
                    <a:latin typeface="Arial Nova Light" panose="020B03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Data'!$AR$19:$AR$21</c:f>
              <c:numCache>
                <c:formatCode>General</c:formatCode>
                <c:ptCount val="3"/>
                <c:pt idx="0">
                  <c:v>0</c:v>
                </c:pt>
                <c:pt idx="1">
                  <c:v>7.5</c:v>
                </c:pt>
                <c:pt idx="2" formatCode="0.00">
                  <c:v>15</c:v>
                </c:pt>
              </c:numCache>
            </c:numRef>
          </c:xVal>
          <c:yVal>
            <c:numRef>
              <c:f>'Chart Data'!$AS$19:$AS$21</c:f>
              <c:numCache>
                <c:formatCode>General</c:formatCode>
                <c:ptCount val="3"/>
                <c:pt idx="0">
                  <c:v>78106207.430224136</c:v>
                </c:pt>
                <c:pt idx="1">
                  <c:v>78106207.430224136</c:v>
                </c:pt>
                <c:pt idx="2">
                  <c:v>78106207.430224136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Data'!$AQ$19:$AQ$21</c15:f>
                <c15:dlblRangeCache>
                  <c:ptCount val="3"/>
                  <c:pt idx="1">
                    <c:v>Planned Value to Date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B433-4105-AFCB-5A861A8B1ABA}"/>
            </c:ext>
          </c:extLst>
        </c:ser>
        <c:ser>
          <c:idx val="11"/>
          <c:order val="9"/>
          <c:tx>
            <c:v>Actual Cost to Date</c:v>
          </c:tx>
          <c:spPr>
            <a:ln w="12700">
              <a:solidFill>
                <a:schemeClr val="accent3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accent3"/>
                </a:solidFill>
              </a:ln>
            </c:spPr>
          </c:marker>
          <c:xVal>
            <c:numRef>
              <c:f>'Chart Data'!$S$3:$S$33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xVal>
          <c:yVal>
            <c:numRef>
              <c:f>'Chart Data'!$V$3:$V$33</c:f>
              <c:numCache>
                <c:formatCode>General</c:formatCode>
                <c:ptCount val="31"/>
                <c:pt idx="0">
                  <c:v>0</c:v>
                </c:pt>
                <c:pt idx="1">
                  <c:v>1421622.7547118734</c:v>
                </c:pt>
                <c:pt idx="2">
                  <c:v>3118418.5797024793</c:v>
                </c:pt>
                <c:pt idx="3">
                  <c:v>5134061.7544289101</c:v>
                </c:pt>
                <c:pt idx="4">
                  <c:v>7515012.0934158238</c:v>
                </c:pt>
                <c:pt idx="5">
                  <c:v>10308826.551028855</c:v>
                </c:pt>
                <c:pt idx="6">
                  <c:v>13561618.082506869</c:v>
                </c:pt>
                <c:pt idx="7">
                  <c:v>17314562.952971365</c:v>
                </c:pt>
                <c:pt idx="8">
                  <c:v>21599479.306924</c:v>
                </c:pt>
                <c:pt idx="9">
                  <c:v>26433696.950413063</c:v>
                </c:pt>
                <c:pt idx="10">
                  <c:v>31814701.237123687</c:v>
                </c:pt>
                <c:pt idx="11">
                  <c:v>37715317.687306345</c:v>
                </c:pt>
                <c:pt idx="12">
                  <c:v>44080421.651255101</c:v>
                </c:pt>
                <c:pt idx="13">
                  <c:v>50826193.926843315</c:v>
                </c:pt>
                <c:pt idx="14">
                  <c:v>57842697.729863882</c:v>
                </c:pt>
                <c:pt idx="15">
                  <c:v>64999999.999999985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B433-4105-AFCB-5A861A8B1ABA}"/>
            </c:ext>
          </c:extLst>
        </c:ser>
        <c:ser>
          <c:idx val="12"/>
          <c:order val="10"/>
          <c:tx>
            <c:v>Earned Value to Date</c:v>
          </c:tx>
          <c:spPr>
            <a:ln w="12700">
              <a:solidFill>
                <a:srgbClr val="002060"/>
              </a:solidFill>
            </a:ln>
          </c:spPr>
          <c:marker>
            <c:symbol val="circle"/>
            <c:size val="5"/>
            <c:spPr>
              <a:solidFill>
                <a:schemeClr val="bg1"/>
              </a:solidFill>
              <a:ln>
                <a:solidFill>
                  <a:schemeClr val="tx2"/>
                </a:solidFill>
              </a:ln>
            </c:spPr>
          </c:marker>
          <c:xVal>
            <c:numRef>
              <c:f>'Chart Data'!$S$3:$S$33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xVal>
          <c:yVal>
            <c:numRef>
              <c:f>'Chart Data'!$U$3:$U$33</c:f>
              <c:numCache>
                <c:formatCode>General</c:formatCode>
                <c:ptCount val="31"/>
                <c:pt idx="0">
                  <c:v>0</c:v>
                </c:pt>
                <c:pt idx="1">
                  <c:v>1478455.6243997603</c:v>
                </c:pt>
                <c:pt idx="2">
                  <c:v>3174155.8634039946</c:v>
                </c:pt>
                <c:pt idx="3">
                  <c:v>5109699.1571174189</c:v>
                </c:pt>
                <c:pt idx="4">
                  <c:v>7306928.251828202</c:v>
                </c:pt>
                <c:pt idx="5">
                  <c:v>9785751.0093946029</c:v>
                </c:pt>
                <c:pt idx="6">
                  <c:v>12562701.762166522</c:v>
                </c:pt>
                <c:pt idx="7">
                  <c:v>15649287.697149307</c:v>
                </c:pt>
                <c:pt idx="8">
                  <c:v>19050213.950931884</c:v>
                </c:pt>
                <c:pt idx="9">
                  <c:v>22761636.822139148</c:v>
                </c:pt>
                <c:pt idx="10">
                  <c:v>26769647.004476327</c:v>
                </c:pt>
                <c:pt idx="11">
                  <c:v>31049219.71925937</c:v>
                </c:pt>
                <c:pt idx="12">
                  <c:v>35563869.744324185</c:v>
                </c:pt>
                <c:pt idx="13">
                  <c:v>40266203.122053586</c:v>
                </c:pt>
                <c:pt idx="14">
                  <c:v>45099459.51346156</c:v>
                </c:pt>
                <c:pt idx="15">
                  <c:v>49999999.999999993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B433-4105-AFCB-5A861A8B1ABA}"/>
            </c:ext>
          </c:extLst>
        </c:ser>
        <c:ser>
          <c:idx val="0"/>
          <c:order val="15"/>
          <c:tx>
            <c:v>Planned Value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2-B433-4105-AFCB-5A861A8B1ABA}"/>
              </c:ext>
            </c:extLst>
          </c:dPt>
          <c:xVal>
            <c:numRef>
              <c:f>'Chart Data'!$E$3:$E$27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  <c:extLst xmlns:c15="http://schemas.microsoft.com/office/drawing/2012/chart"/>
            </c:numRef>
          </c:xVal>
          <c:yVal>
            <c:numRef>
              <c:f>'Chart Data'!$F$3:$F$27</c:f>
              <c:numCache>
                <c:formatCode>_("$"* #,##0_);_("$"* \(#,##0\);_("$"* "-"??_);_(@_)</c:formatCode>
                <c:ptCount val="25"/>
                <c:pt idx="0">
                  <c:v>0</c:v>
                </c:pt>
                <c:pt idx="1">
                  <c:v>347097.34666395112</c:v>
                </c:pt>
                <c:pt idx="2">
                  <c:v>869063.31807220192</c:v>
                </c:pt>
                <c:pt idx="3">
                  <c:v>1650545.6099969603</c:v>
                </c:pt>
                <c:pt idx="4">
                  <c:v>2812886.9401066336</c:v>
                </c:pt>
                <c:pt idx="5">
                  <c:v>4524862.6818683473</c:v>
                </c:pt>
                <c:pt idx="6">
                  <c:v>7010371.6545108147</c:v>
                </c:pt>
                <c:pt idx="7">
                  <c:v>10544593.489371434</c:v>
                </c:pt>
                <c:pt idx="8">
                  <c:v>15424087.634018205</c:v>
                </c:pt>
                <c:pt idx="9">
                  <c:v>21893792.569775846</c:v>
                </c:pt>
                <c:pt idx="10">
                  <c:v>30026715.167758327</c:v>
                </c:pt>
                <c:pt idx="11">
                  <c:v>39592149.822794147</c:v>
                </c:pt>
                <c:pt idx="12">
                  <c:v>49999999.999999993</c:v>
                </c:pt>
                <c:pt idx="13">
                  <c:v>60407850.177205808</c:v>
                </c:pt>
                <c:pt idx="14">
                  <c:v>69973284.832241684</c:v>
                </c:pt>
                <c:pt idx="15">
                  <c:v>78106207.430224136</c:v>
                </c:pt>
                <c:pt idx="16">
                  <c:v>84575912.365981773</c:v>
                </c:pt>
                <c:pt idx="17">
                  <c:v>89455406.510628566</c:v>
                </c:pt>
                <c:pt idx="18">
                  <c:v>92989628.345489189</c:v>
                </c:pt>
                <c:pt idx="19">
                  <c:v>95475137.318131626</c:v>
                </c:pt>
                <c:pt idx="20">
                  <c:v>97187113.05989337</c:v>
                </c:pt>
                <c:pt idx="21">
                  <c:v>98349454.390003026</c:v>
                </c:pt>
                <c:pt idx="22">
                  <c:v>99130936.681927785</c:v>
                </c:pt>
                <c:pt idx="23">
                  <c:v>99652902.653336033</c:v>
                </c:pt>
                <c:pt idx="24">
                  <c:v>100000000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433-4105-AFCB-5A861A8B1ABA}"/>
            </c:ext>
          </c:extLst>
        </c:ser>
        <c:ser>
          <c:idx val="3"/>
          <c:order val="16"/>
          <c:tx>
            <c:v>Baseline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BF86339-CE00-4E6F-9EFC-AB1AA672A1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B433-4105-AFCB-5A861A8B1ABA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29380EB7-4A1F-4836-B731-35DE99295F4E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99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B433-4105-AFCB-5A861A8B1AB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82AE3E2-DA3C-4962-A338-1375A7DFF2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B433-4105-AFCB-5A861A8B1ABA}"/>
                </c:ext>
              </c:extLst>
            </c:dLbl>
            <c:dLbl>
              <c:idx val="3"/>
              <c:tx>
                <c:rich>
                  <a:bodyPr rot="5400000" vertOverflow="clip" horzOverflow="clip" vert="horz" wrap="square" lIns="38100" tIns="19050" rIns="38100" bIns="19050" anchor="t" anchorCtr="0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4D886CD7-61E1-470B-89D2-3BA3ADF54889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B433-4105-AFCB-5A861A8B1ABA}"/>
                </c:ext>
              </c:extLst>
            </c:dLbl>
            <c:dLbl>
              <c:idx val="4"/>
              <c:tx>
                <c:rich>
                  <a:bodyPr rot="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B433-4105-AFCB-5A861A8B1ABA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Data'!$AN$3:$AN$7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xVal>
          <c:yVal>
            <c:numRef>
              <c:f>'Chart Data'!$AO$3:$AO$7</c:f>
              <c:numCache>
                <c:formatCode>_("$"* #,##0_);_("$"* \(#,##0\);_("$"* "-"??_);_(@_)</c:formatCode>
                <c:ptCount val="5"/>
                <c:pt idx="0">
                  <c:v>100000000</c:v>
                </c:pt>
                <c:pt idx="1">
                  <c:v>100000000</c:v>
                </c:pt>
                <c:pt idx="2">
                  <c:v>100000000</c:v>
                </c:pt>
                <c:pt idx="3">
                  <c:v>50000000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Data'!$AM$3:$AM$6</c15:f>
                <c15:dlblRangeCache>
                  <c:ptCount val="4"/>
                  <c:pt idx="1">
                    <c:v>Budget At Completion</c:v>
                  </c:pt>
                  <c:pt idx="3">
                    <c:v>Planned Completion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6-B433-4105-AFCB-5A861A8B1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809807"/>
        <c:axId val="1052780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Actual Cost</c:v>
                </c:tx>
                <c:spPr>
                  <a:ln w="12700">
                    <a:solidFill>
                      <a:schemeClr val="accent3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'Chart Data'!$L$3:$L$33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1421622.7547118734</c:v>
                      </c:pt>
                      <c:pt idx="2">
                        <c:v>3118418.5797024793</c:v>
                      </c:pt>
                      <c:pt idx="3">
                        <c:v>5134061.7544289101</c:v>
                      </c:pt>
                      <c:pt idx="4">
                        <c:v>7515012.0934158238</c:v>
                      </c:pt>
                      <c:pt idx="5">
                        <c:v>10308826.551028855</c:v>
                      </c:pt>
                      <c:pt idx="6">
                        <c:v>13561618.082506869</c:v>
                      </c:pt>
                      <c:pt idx="7">
                        <c:v>17314562.952971365</c:v>
                      </c:pt>
                      <c:pt idx="8">
                        <c:v>21599479.306924</c:v>
                      </c:pt>
                      <c:pt idx="9">
                        <c:v>26433696.950413063</c:v>
                      </c:pt>
                      <c:pt idx="10">
                        <c:v>31814701.237123687</c:v>
                      </c:pt>
                      <c:pt idx="11">
                        <c:v>37715317.687306345</c:v>
                      </c:pt>
                      <c:pt idx="12">
                        <c:v>44080421.651255101</c:v>
                      </c:pt>
                      <c:pt idx="13">
                        <c:v>50826193.926843315</c:v>
                      </c:pt>
                      <c:pt idx="14">
                        <c:v>57842697.729863882</c:v>
                      </c:pt>
                      <c:pt idx="15">
                        <c:v>64999999.999999985</c:v>
                      </c:pt>
                      <c:pt idx="16">
                        <c:v>72157302.270136088</c:v>
                      </c:pt>
                      <c:pt idx="17">
                        <c:v>79173806.073156655</c:v>
                      </c:pt>
                      <c:pt idx="18">
                        <c:v>85919578.348744884</c:v>
                      </c:pt>
                      <c:pt idx="19">
                        <c:v>92284682.312693626</c:v>
                      </c:pt>
                      <c:pt idx="20">
                        <c:v>98185298.762876287</c:v>
                      </c:pt>
                      <c:pt idx="21">
                        <c:v>103566303.04958689</c:v>
                      </c:pt>
                      <c:pt idx="22">
                        <c:v>108400520.69307597</c:v>
                      </c:pt>
                      <c:pt idx="23">
                        <c:v>112685437.04702863</c:v>
                      </c:pt>
                      <c:pt idx="24">
                        <c:v>116438381.91749313</c:v>
                      </c:pt>
                      <c:pt idx="25">
                        <c:v>119691173.44897111</c:v>
                      </c:pt>
                      <c:pt idx="26" formatCode="General">
                        <c:v>122484987.90658414</c:v>
                      </c:pt>
                      <c:pt idx="27" formatCode="General">
                        <c:v>124865938.24557108</c:v>
                      </c:pt>
                      <c:pt idx="28" formatCode="General">
                        <c:v>126881581.42029749</c:v>
                      </c:pt>
                      <c:pt idx="29" formatCode="General">
                        <c:v>128578377.24528812</c:v>
                      </c:pt>
                      <c:pt idx="30" formatCode="General">
                        <c:v>130000000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9-B433-4105-AFCB-5A861A8B1AB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Earned Value</c:v>
                </c:tx>
                <c:spPr>
                  <a:ln w="12700"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Data'!$K$3:$K$33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1478455.6243997603</c:v>
                      </c:pt>
                      <c:pt idx="2">
                        <c:v>3174155.8634039946</c:v>
                      </c:pt>
                      <c:pt idx="3">
                        <c:v>5109699.1571174189</c:v>
                      </c:pt>
                      <c:pt idx="4">
                        <c:v>7306928.251828202</c:v>
                      </c:pt>
                      <c:pt idx="5">
                        <c:v>9785751.0093946029</c:v>
                      </c:pt>
                      <c:pt idx="6">
                        <c:v>12562701.762166522</c:v>
                      </c:pt>
                      <c:pt idx="7">
                        <c:v>15649287.697149307</c:v>
                      </c:pt>
                      <c:pt idx="8">
                        <c:v>19050213.950931884</c:v>
                      </c:pt>
                      <c:pt idx="9">
                        <c:v>22761636.822139148</c:v>
                      </c:pt>
                      <c:pt idx="10">
                        <c:v>26769647.004476327</c:v>
                      </c:pt>
                      <c:pt idx="11">
                        <c:v>31049219.71925937</c:v>
                      </c:pt>
                      <c:pt idx="12">
                        <c:v>35563869.744324185</c:v>
                      </c:pt>
                      <c:pt idx="13">
                        <c:v>40266203.122053586</c:v>
                      </c:pt>
                      <c:pt idx="14">
                        <c:v>45099459.51346156</c:v>
                      </c:pt>
                      <c:pt idx="15">
                        <c:v>49999999.999999993</c:v>
                      </c:pt>
                      <c:pt idx="16">
                        <c:v>54900540.486538425</c:v>
                      </c:pt>
                      <c:pt idx="17">
                        <c:v>59733796.877946407</c:v>
                      </c:pt>
                      <c:pt idx="18">
                        <c:v>64436130.2556758</c:v>
                      </c:pt>
                      <c:pt idx="19">
                        <c:v>68950780.280740604</c:v>
                      </c:pt>
                      <c:pt idx="20">
                        <c:v>73230352.995523646</c:v>
                      </c:pt>
                      <c:pt idx="21">
                        <c:v>77238363.177860841</c:v>
                      </c:pt>
                      <c:pt idx="22">
                        <c:v>80949786.049068078</c:v>
                      </c:pt>
                      <c:pt idx="23">
                        <c:v>84350712.302850679</c:v>
                      </c:pt>
                      <c:pt idx="24">
                        <c:v>87437298.23783347</c:v>
                      </c:pt>
                      <c:pt idx="25">
                        <c:v>90214248.990605384</c:v>
                      </c:pt>
                      <c:pt idx="26">
                        <c:v>92693071.748171791</c:v>
                      </c:pt>
                      <c:pt idx="27">
                        <c:v>94890300.842882559</c:v>
                      </c:pt>
                      <c:pt idx="28">
                        <c:v>96825844.136595994</c:v>
                      </c:pt>
                      <c:pt idx="29">
                        <c:v>98521544.375600234</c:v>
                      </c:pt>
                      <c:pt idx="30">
                        <c:v>100000000.00000001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B433-4105-AFCB-5A861A8B1ABA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EV(Now)=PV(ES)</c:v>
                </c:tx>
                <c:spPr>
                  <a:ln w="25400">
                    <a:solidFill>
                      <a:schemeClr val="tx1"/>
                    </a:solidFill>
                    <a:tailEnd type="triangle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Data'!$AZ$11:$AZ$12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15</c:v>
                      </c:pt>
                      <c:pt idx="1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Data'!$BA$11:$BA$12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46999999.999999993</c:v>
                      </c:pt>
                      <c:pt idx="1">
                        <c:v>46999999.999999993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B433-4105-AFCB-5A861A8B1ABA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Final Actuals</c:v>
                </c:tx>
                <c:spPr>
                  <a:ln w="19050">
                    <a:solidFill>
                      <a:srgbClr val="00B050"/>
                    </a:solidFill>
                    <a:prstDash val="lgDash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9DB45F57-5756-4A8A-A3E4-57638F7589F2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7-B433-4105-AFCB-5A861A8B1ABA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CDFC88F3-8AE2-4A72-A355-37A4824D2700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8-B433-4105-AFCB-5A861A8B1ABA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4C91CB5F-7085-4EF7-9598-A9912C75D9DE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9-B433-4105-AFCB-5A861A8B1ABA}"/>
                      </c:ext>
                    </c:extLst>
                  </c:dLbl>
                  <c:dLbl>
                    <c:idx val="3"/>
                    <c:tx>
                      <c:rich>
                        <a:bodyPr rot="5400000" vert="horz" wrap="square" lIns="38100" tIns="19050" rIns="38100" bIns="19050" anchor="ctr">
                          <a:spAutoFit/>
                        </a:bodyPr>
                        <a:lstStyle/>
                        <a:p>
                          <a:pPr>
                            <a:defRPr sz="1100">
                              <a:latin typeface="Arial Nova Light" panose="020B0304020202020204" pitchFamily="34" charset="0"/>
                            </a:defRPr>
                          </a:pPr>
                          <a:fld id="{7DF48C9C-FBAA-442E-B06D-AA19B08322B0}" type="CELLRANGE">
                            <a:rPr lang="en-US"/>
                            <a:pPr>
                              <a:defRPr sz="1100">
                                <a:latin typeface="Arial Nova Light" panose="020B0304020202020204" pitchFamily="34" charset="0"/>
                              </a:defRPr>
                            </a:pPr>
                            <a:t>[CELLRANGE]</a:t>
                          </a:fld>
                          <a:endParaRPr lang="en-US"/>
                        </a:p>
                      </c:rich>
                    </c:tx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A-B433-4105-AFCB-5A861A8B1ABA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E85FB23C-5095-49F0-A1A6-C8A1E0240C66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B-B433-4105-AFCB-5A861A8B1ABA}"/>
                      </c:ext>
                    </c:extLst>
                  </c:dLbl>
                  <c:spPr>
                    <a:solidFill>
                      <a:schemeClr val="bg1">
                        <a:alpha val="7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Data'!$BD$3:$BD$7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15</c:v>
                      </c:pt>
                      <c:pt idx="2">
                        <c:v>30</c:v>
                      </c:pt>
                      <c:pt idx="3">
                        <c:v>30</c:v>
                      </c:pt>
                      <c:pt idx="4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Data'!$BE$3:$BE$7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130000000</c:v>
                      </c:pt>
                      <c:pt idx="1">
                        <c:v>130000000</c:v>
                      </c:pt>
                      <c:pt idx="2">
                        <c:v>130000000</c:v>
                      </c:pt>
                      <c:pt idx="3">
                        <c:v>65000000</c:v>
                      </c:pt>
                      <c:pt idx="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Data'!$BC$3:$BC$7</c15:f>
                      <c15:dlblRangeCache>
                        <c:ptCount val="5"/>
                        <c:pt idx="1">
                          <c:v>Final Cost</c:v>
                        </c:pt>
                        <c:pt idx="3">
                          <c:v>Final Duration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1C-B433-4105-AFCB-5A861A8B1ABA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Data'!$AU$1</c15:sqref>
                        </c15:formulaRef>
                      </c:ext>
                    </c:extLst>
                    <c:strCache>
                      <c:ptCount val="1"/>
                      <c:pt idx="0">
                        <c:v>Cost Variance</c:v>
                      </c:pt>
                    </c:strCache>
                  </c:strRef>
                </c:tx>
                <c:spPr>
                  <a:ln w="12700">
                    <a:solidFill>
                      <a:schemeClr val="tx1"/>
                    </a:solidFill>
                    <a:prstDash val="sysDot"/>
                    <a:headEnd type="arrow"/>
                    <a:tailEnd type="arrow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0D1D6E29-0AF6-46DD-A20E-4819628D6368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D-B433-4105-AFCB-5A861A8B1ABA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D7C39FDF-CA2F-4E5A-B829-EF5A33F631F4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E-B433-4105-AFCB-5A861A8B1ABA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F9304865-D6CF-429F-8937-E510FE4DE87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F-B433-4105-AFCB-5A861A8B1ABA}"/>
                      </c:ext>
                    </c:extLst>
                  </c:dLbl>
                  <c:spPr>
                    <a:solidFill>
                      <a:schemeClr val="bg1">
                        <a:alpha val="75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vertOverflow="clip" horzOverflow="clip" wrap="none" lIns="0" tIns="0" rIns="0" bIns="0" anchor="ctr">
                      <a:spAutoFit/>
                    </a:bodyPr>
                    <a:lstStyle/>
                    <a:p>
                      <a:pPr>
                        <a:defRPr sz="8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Data'!$AV$3:$AV$5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1.5</c:v>
                      </c:pt>
                      <c:pt idx="1">
                        <c:v>1.5</c:v>
                      </c:pt>
                      <c:pt idx="2">
                        <c:v>1.5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Data'!$AW$3:$AW$5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64999999.999999985</c:v>
                      </c:pt>
                      <c:pt idx="1">
                        <c:v>57499999.999999985</c:v>
                      </c:pt>
                      <c:pt idx="2">
                        <c:v>49999999.999999993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Data'!$AU$3:$AU$5</c15:f>
                      <c15:dlblRangeCache>
                        <c:ptCount val="3"/>
                        <c:pt idx="1">
                          <c:v>CV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0-B433-4105-AFCB-5A861A8B1ABA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Data'!$AU$7</c15:sqref>
                        </c15:formulaRef>
                      </c:ext>
                    </c:extLst>
                    <c:strCache>
                      <c:ptCount val="1"/>
                      <c:pt idx="0">
                        <c:v>Schedule Variance</c:v>
                      </c:pt>
                    </c:strCache>
                  </c:strRef>
                </c:tx>
                <c:spPr>
                  <a:ln w="12700">
                    <a:solidFill>
                      <a:schemeClr val="tx1"/>
                    </a:solidFill>
                    <a:prstDash val="sysDot"/>
                    <a:headEnd type="arrow"/>
                    <a:tailEnd type="arrow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9AD6C408-AF35-4F8D-A45C-E8893F32FA1C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1-B433-4105-AFCB-5A861A8B1ABA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6A1A2963-EE71-49CD-B03B-52730B75B960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2-B433-4105-AFCB-5A861A8B1ABA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29086A05-0AF0-42F5-BBAC-CDCB8E5FA384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3-B433-4105-AFCB-5A861A8B1ABA}"/>
                      </c:ext>
                    </c:extLst>
                  </c:dLbl>
                  <c:spPr>
                    <a:solidFill>
                      <a:schemeClr val="bg1">
                        <a:alpha val="75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vertOverflow="clip" horzOverflow="clip" wrap="none" lIns="0" tIns="0" rIns="0" bIns="0" anchor="ctr">
                      <a:spAutoFit/>
                    </a:bodyPr>
                    <a:lstStyle/>
                    <a:p>
                      <a:pPr>
                        <a:defRPr sz="8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Data'!$AV$9:$AV$11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Data'!$AW$9:$AW$11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78106207.430224136</c:v>
                      </c:pt>
                      <c:pt idx="1">
                        <c:v>64053103.71511206</c:v>
                      </c:pt>
                      <c:pt idx="2">
                        <c:v>49999999.999999993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Data'!$AU$9:$AU$11</c15:f>
                      <c15:dlblRangeCache>
                        <c:ptCount val="3"/>
                        <c:pt idx="1">
                          <c:v>SV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4-B433-4105-AFCB-5A861A8B1ABA}"/>
                  </c:ext>
                </c:extLst>
              </c15:ser>
            </c15:filteredScatterSeries>
            <c15:filteredScatterSeries>
              <c15:ser>
                <c:idx val="13"/>
                <c:order val="11"/>
                <c:tx>
                  <c:v>Planned Value to Date</c:v>
                </c:tx>
                <c:spPr>
                  <a:ln w="12700">
                    <a:solidFill>
                      <a:srgbClr val="C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Data'!$S$3:$S$33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Data'!$T$3:$T$33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347097.34666395112</c:v>
                      </c:pt>
                      <c:pt idx="2">
                        <c:v>869063.31807220192</c:v>
                      </c:pt>
                      <c:pt idx="3">
                        <c:v>1650545.6099969603</c:v>
                      </c:pt>
                      <c:pt idx="4">
                        <c:v>2812886.9401066336</c:v>
                      </c:pt>
                      <c:pt idx="5">
                        <c:v>4524862.6818683473</c:v>
                      </c:pt>
                      <c:pt idx="6">
                        <c:v>7010371.6545108147</c:v>
                      </c:pt>
                      <c:pt idx="7">
                        <c:v>10544593.489371434</c:v>
                      </c:pt>
                      <c:pt idx="8">
                        <c:v>15424087.634018205</c:v>
                      </c:pt>
                      <c:pt idx="9">
                        <c:v>21893792.569775846</c:v>
                      </c:pt>
                      <c:pt idx="10">
                        <c:v>30026715.167758327</c:v>
                      </c:pt>
                      <c:pt idx="11">
                        <c:v>39592149.822794147</c:v>
                      </c:pt>
                      <c:pt idx="12">
                        <c:v>49999999.999999993</c:v>
                      </c:pt>
                      <c:pt idx="13">
                        <c:v>60407850.177205808</c:v>
                      </c:pt>
                      <c:pt idx="14">
                        <c:v>69973284.832241684</c:v>
                      </c:pt>
                      <c:pt idx="15">
                        <c:v>78106207.430224136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B433-4105-AFCB-5A861A8B1ABA}"/>
                  </c:ext>
                </c:extLst>
              </c15:ser>
            </c15:filteredScatterSeries>
            <c15:filteredScatterSeries>
              <c15:ser>
                <c:idx val="14"/>
                <c:order val="12"/>
                <c:tx>
                  <c:v>Future Actual Costs (Unknown)</c:v>
                </c:tx>
                <c:spPr>
                  <a:ln w="12700" cmpd="tri">
                    <a:solidFill>
                      <a:schemeClr val="accent3">
                        <a:lumMod val="50000"/>
                      </a:schemeClr>
                    </a:solidFill>
                    <a:prstDash val="sysDot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Data'!$W$3:$W$33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Data'!$Z$3:$Z$33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64999999.999999985</c:v>
                      </c:pt>
                      <c:pt idx="16">
                        <c:v>72157302.270136088</c:v>
                      </c:pt>
                      <c:pt idx="17">
                        <c:v>79173806.073156655</c:v>
                      </c:pt>
                      <c:pt idx="18">
                        <c:v>85919578.348744884</c:v>
                      </c:pt>
                      <c:pt idx="19">
                        <c:v>92284682.312693626</c:v>
                      </c:pt>
                      <c:pt idx="20">
                        <c:v>98185298.762876287</c:v>
                      </c:pt>
                      <c:pt idx="21">
                        <c:v>103566303.04958689</c:v>
                      </c:pt>
                      <c:pt idx="22">
                        <c:v>108400520.69307597</c:v>
                      </c:pt>
                      <c:pt idx="23">
                        <c:v>112685437.04702863</c:v>
                      </c:pt>
                      <c:pt idx="24">
                        <c:v>116438381.91749313</c:v>
                      </c:pt>
                      <c:pt idx="25">
                        <c:v>119691173.44897111</c:v>
                      </c:pt>
                      <c:pt idx="26">
                        <c:v>122484987.90658414</c:v>
                      </c:pt>
                      <c:pt idx="27">
                        <c:v>124865938.24557108</c:v>
                      </c:pt>
                      <c:pt idx="28">
                        <c:v>126881581.42029749</c:v>
                      </c:pt>
                      <c:pt idx="29">
                        <c:v>128578377.24528812</c:v>
                      </c:pt>
                      <c:pt idx="30">
                        <c:v>130000000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7-B433-4105-AFCB-5A861A8B1ABA}"/>
                  </c:ext>
                </c:extLst>
              </c15:ser>
            </c15:filteredScatterSeries>
            <c15:filteredScatterSeries>
              <c15:ser>
                <c:idx val="15"/>
                <c:order val="13"/>
                <c:tx>
                  <c:v>Future Earned Value (Unknown)</c:v>
                </c:tx>
                <c:spPr>
                  <a:ln w="12700">
                    <a:solidFill>
                      <a:schemeClr val="tx2"/>
                    </a:solidFill>
                    <a:prstDash val="sysDot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Data'!$W$3:$W$33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Data'!$Y$3:$Y$33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49999999.999999993</c:v>
                      </c:pt>
                      <c:pt idx="16">
                        <c:v>54900540.486538425</c:v>
                      </c:pt>
                      <c:pt idx="17">
                        <c:v>59733796.877946407</c:v>
                      </c:pt>
                      <c:pt idx="18">
                        <c:v>64436130.2556758</c:v>
                      </c:pt>
                      <c:pt idx="19">
                        <c:v>68950780.280740604</c:v>
                      </c:pt>
                      <c:pt idx="20">
                        <c:v>73230352.995523646</c:v>
                      </c:pt>
                      <c:pt idx="21">
                        <c:v>77238363.177860841</c:v>
                      </c:pt>
                      <c:pt idx="22">
                        <c:v>80949786.049068078</c:v>
                      </c:pt>
                      <c:pt idx="23">
                        <c:v>84350712.302850679</c:v>
                      </c:pt>
                      <c:pt idx="24">
                        <c:v>87437298.23783347</c:v>
                      </c:pt>
                      <c:pt idx="25">
                        <c:v>90214248.990605384</c:v>
                      </c:pt>
                      <c:pt idx="26">
                        <c:v>92693071.748171791</c:v>
                      </c:pt>
                      <c:pt idx="27">
                        <c:v>94890300.842882559</c:v>
                      </c:pt>
                      <c:pt idx="28">
                        <c:v>96825844.136595994</c:v>
                      </c:pt>
                      <c:pt idx="29">
                        <c:v>98521544.375600234</c:v>
                      </c:pt>
                      <c:pt idx="30">
                        <c:v>100000000.00000001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8-B433-4105-AFCB-5A861A8B1ABA}"/>
                  </c:ext>
                </c:extLst>
              </c15:ser>
            </c15:filteredScatterSeries>
            <c15:filteredScatterSeries>
              <c15:ser>
                <c:idx val="16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Data'!$AY$1</c15:sqref>
                        </c15:formulaRef>
                      </c:ext>
                    </c:extLst>
                    <c:strCache>
                      <c:ptCount val="1"/>
                      <c:pt idx="0">
                        <c:v>Earned Schedule</c:v>
                      </c:pt>
                    </c:strCache>
                  </c:strRef>
                </c:tx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C0EB21E6-4E4B-4A87-B1A5-06D5B5EED464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b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E-B433-4105-AFCB-5A861A8B1ABA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=</a:t>
                          </a:r>
                          <a:r>
                            <a:rPr lang="en-US" baseline="0"/>
                            <a:t> </a:t>
                          </a:r>
                          <a:r>
                            <a:rPr lang="en-US"/>
                            <a:t>Planned Value</a:t>
                          </a:r>
                          <a:r>
                            <a:rPr lang="en-US" baseline="0"/>
                            <a:t> (ES)</a:t>
                          </a:r>
                          <a:endParaRPr lang="en-US"/>
                        </a:p>
                      </c:rich>
                    </c:tx>
                    <c:dLblPos val="b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0-B433-4105-AFCB-5A861A8B1ABA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6E835486-B8D0-44EC-8CCF-E042A7DC2B51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b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F-B433-4105-AFCB-5A861A8B1ABA}"/>
                      </c:ext>
                    </c:extLst>
                  </c:dLbl>
                  <c:dLbl>
                    <c:idx val="3"/>
                    <c:tx>
                      <c:rich>
                        <a:bodyPr rot="5400000" vertOverflow="clip" horzOverflow="clip" vert="horz" wrap="square" lIns="38100" tIns="19050" rIns="38100" bIns="19050" anchor="ctr" anchorCtr="0">
                          <a:spAutoFit/>
                        </a:bodyPr>
                        <a:lstStyle/>
                        <a:p>
                          <a:pPr algn="ctr">
                            <a:defRPr lang="en-US" sz="1100" b="0" i="0" u="none" strike="noStrike" kern="1200" baseline="0">
                              <a:solidFill>
                                <a:schemeClr val="dk1"/>
                              </a:solidFill>
                              <a:latin typeface="Arial Nova Light" panose="020B0304020202020204" pitchFamily="34" charset="0"/>
                              <a:ea typeface="+mn-ea"/>
                              <a:cs typeface="+mn-cs"/>
                            </a:defRPr>
                          </a:pPr>
                          <a:fld id="{045F75A4-8CFB-465B-9DAC-DD2A125F59A5}" type="CELLRANGE">
                            <a:rPr lang="en-US"/>
                            <a:pPr algn="ctr">
                              <a:defRPr lang="en-US" sz="1100" b="0" i="0" u="none" strike="noStrike" kern="1200" baseline="0">
                                <a:solidFill>
                                  <a:schemeClr val="dk1"/>
                                </a:solidFill>
                                <a:latin typeface="Arial Nova Light" panose="020B0304020202020204" pitchFamily="34" charset="0"/>
                                <a:ea typeface="+mn-ea"/>
                                <a:cs typeface="+mn-cs"/>
                              </a:defRPr>
                            </a:pPr>
                            <a:t>[CELLRANGE]</a:t>
                          </a:fld>
                          <a:endParaRPr lang="en-US"/>
                        </a:p>
                      </c:rich>
                    </c:tx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D-B433-4105-AFCB-5A861A8B1ABA}"/>
                      </c:ext>
                    </c:extLst>
                  </c:dLbl>
                  <c:dLbl>
                    <c:idx val="4"/>
                    <c:tx>
                      <c:rich>
                        <a:bodyPr rot="0" vert="horz" wrap="square" lIns="38100" tIns="19050" rIns="38100" bIns="19050" anchor="ctr" anchorCtr="0">
                          <a:spAutoFit/>
                        </a:bodyPr>
                        <a:lstStyle/>
                        <a:p>
                          <a:pPr algn="ctr">
                            <a:defRPr lang="en-US" sz="1100" b="0" i="0" u="none" strike="noStrike" kern="1200" baseline="0">
                              <a:solidFill>
                                <a:schemeClr val="dk1"/>
                              </a:solidFill>
                              <a:latin typeface="Arial Nova Light" panose="020B0304020202020204" pitchFamily="34" charset="0"/>
                              <a:ea typeface="+mn-ea"/>
                              <a:cs typeface="+mn-cs"/>
                            </a:defRPr>
                          </a:pPr>
                          <a:fld id="{DD6952DC-AC8A-460C-9896-89D4D649866B}" type="XVALUE">
                            <a:rPr lang="en-US"/>
                            <a:pPr algn="ctr">
                              <a:defRPr lang="en-US" sz="1100" b="0" i="0" u="none" strike="noStrike" kern="1200" baseline="0">
                                <a:solidFill>
                                  <a:schemeClr val="dk1"/>
                                </a:solidFill>
                                <a:latin typeface="Arial Nova Light" panose="020B0304020202020204" pitchFamily="34" charset="0"/>
                                <a:ea typeface="+mn-ea"/>
                                <a:cs typeface="+mn-cs"/>
                              </a:defRPr>
                            </a:pPr>
                            <a:t>[X VALUE]</a:t>
                          </a:fld>
                          <a:endParaRPr lang="en-US"/>
                        </a:p>
                      </c:rich>
                    </c:tx>
                    <c:numFmt formatCode="#,##0.0" sourceLinked="0"/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dLblPos val="b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separator> </c:separator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1-B433-4105-AFCB-5A861A8B1ABA}"/>
                      </c:ext>
                    </c:extLst>
                  </c:dLbl>
                  <c:spPr>
                    <a:solidFill>
                      <a:schemeClr val="bg1">
                        <a:alpha val="7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 anchorCtr="0">
                      <a:spAutoFit/>
                    </a:bodyPr>
                    <a:lstStyle/>
                    <a:p>
                      <a:pPr algn="ctr">
                        <a:defRPr lang="en-US" sz="1100" b="0" i="0" u="none" strike="noStrike" kern="1200" baseline="0">
                          <a:solidFill>
                            <a:schemeClr val="dk1"/>
                          </a:solidFill>
                          <a:latin typeface="Arial Nova Light" panose="020B0304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1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Data'!$AZ$3:$AZ$7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7.5</c:v>
                      </c:pt>
                      <c:pt idx="2" formatCode="0.00">
                        <c:v>12</c:v>
                      </c:pt>
                      <c:pt idx="3" formatCode="0.00">
                        <c:v>12</c:v>
                      </c:pt>
                      <c:pt idx="4" formatCode="0.00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Data'!$BA$3:$BA$7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49999999.999999993</c:v>
                      </c:pt>
                      <c:pt idx="1">
                        <c:v>49999999.999999993</c:v>
                      </c:pt>
                      <c:pt idx="2">
                        <c:v>49999999.999999993</c:v>
                      </c:pt>
                      <c:pt idx="3">
                        <c:v>16000000</c:v>
                      </c:pt>
                      <c:pt idx="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Data'!$AY$3:$AY$6</c15:f>
                      <c15:dlblRangeCache>
                        <c:ptCount val="4"/>
                        <c:pt idx="1">
                          <c:v>Earned Value to Date</c:v>
                        </c:pt>
                        <c:pt idx="3">
                          <c:v>Earned Schedule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C-B433-4105-AFCB-5A861A8B1ABA}"/>
                  </c:ext>
                </c:extLst>
              </c15:ser>
            </c15:filteredScatterSeries>
          </c:ext>
        </c:extLst>
      </c:scatterChart>
      <c:valAx>
        <c:axId val="1052809807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80527"/>
        <c:crosses val="autoZero"/>
        <c:crossBetween val="midCat"/>
      </c:valAx>
      <c:valAx>
        <c:axId val="1052780527"/>
        <c:scaling>
          <c:orientation val="minMax"/>
          <c:max val="12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809807"/>
        <c:crosses val="autoZero"/>
        <c:crossBetween val="midCat"/>
      </c:valAx>
      <c:spPr>
        <a:solidFill>
          <a:schemeClr val="bg1"/>
        </a:solidFill>
        <a:ln w="12700">
          <a:solidFill>
            <a:schemeClr val="tx2"/>
          </a:solidFill>
        </a:ln>
      </c:spPr>
    </c:plotArea>
    <c:legend>
      <c:legendPos val="b"/>
      <c:layout>
        <c:manualLayout>
          <c:xMode val="edge"/>
          <c:yMode val="edge"/>
          <c:x val="0.20967575206945285"/>
          <c:y val="0.88114418171173214"/>
          <c:w val="0.68668431830636556"/>
          <c:h val="7.013824334173705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EVM Concepts - Variances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159719099511103"/>
          <c:y val="6.7201727724733831E-2"/>
          <c:w val="0.81820575992006728"/>
          <c:h val="0.76956862351179955"/>
        </c:manualLayout>
      </c:layout>
      <c:scatterChart>
        <c:scatterStyle val="lineMarker"/>
        <c:varyColors val="0"/>
        <c:ser>
          <c:idx val="4"/>
          <c:order val="2"/>
          <c:tx>
            <c:strRef>
              <c:f>'Chart Data'!$AQ$1</c:f>
              <c:strCache>
                <c:ptCount val="1"/>
                <c:pt idx="0">
                  <c:v>Cumulative Actual Cost</c:v>
                </c:pt>
              </c:strCache>
            </c:strRef>
          </c:tx>
          <c:spPr>
            <a:ln w="19050">
              <a:solidFill>
                <a:schemeClr val="accent3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877-48BF-AC43-45CEE2B83792}"/>
                </c:ext>
              </c:extLst>
            </c:dLbl>
            <c:dLbl>
              <c:idx val="1"/>
              <c:tx>
                <c:rich>
                  <a:bodyPr wrap="none" lIns="0" tIns="0" rIns="0" bIns="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  <a:cs typeface="Arial" panose="020B0604020202020204" pitchFamily="34" charset="0"/>
                      </a:defRPr>
                    </a:pPr>
                    <a:fld id="{1E9AAC00-C092-4B30-B5D6-3B9C0BD7A660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  <a:cs typeface="Arial" panose="020B06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877-48BF-AC43-45CEE2B83792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877-48BF-AC43-45CEE2B83792}"/>
                </c:ext>
              </c:extLst>
            </c:dLbl>
            <c:dLbl>
              <c:idx val="3"/>
              <c:tx>
                <c:rich>
                  <a:bodyPr rot="5400000" vert="horz" wrap="none" lIns="0" tIns="0" rIns="0" bIns="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E18C84BB-7463-4461-B3E3-C87AF3639C6E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877-48BF-AC43-45CEE2B83792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877-48BF-AC43-45CEE2B83792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none" lIns="0" tIns="0" rIns="0" bIns="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'Chart Data'!$AR$3:$AR$7</c:f>
              <c:numCache>
                <c:formatCode>General</c:formatCode>
                <c:ptCount val="5"/>
                <c:pt idx="0">
                  <c:v>0</c:v>
                </c:pt>
                <c:pt idx="1">
                  <c:v>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</c:numCache>
            </c:numRef>
          </c:xVal>
          <c:yVal>
            <c:numRef>
              <c:f>'Chart Data'!$AS$3:$AS$7</c:f>
              <c:numCache>
                <c:formatCode>General</c:formatCode>
                <c:ptCount val="5"/>
                <c:pt idx="0">
                  <c:v>64999999.999999985</c:v>
                </c:pt>
                <c:pt idx="1">
                  <c:v>64999999.999999985</c:v>
                </c:pt>
                <c:pt idx="2">
                  <c:v>64999999.999999985</c:v>
                </c:pt>
                <c:pt idx="3">
                  <c:v>16000000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Data'!$AQ$3:$AQ$7</c15:f>
                <c15:dlblRangeCache>
                  <c:ptCount val="5"/>
                  <c:pt idx="1">
                    <c:v>Actual Cost to Date</c:v>
                  </c:pt>
                  <c:pt idx="3">
                    <c:v>Status Date</c:v>
                  </c:pt>
                  <c:pt idx="4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4877-48BF-AC43-45CEE2B83792}"/>
            </c:ext>
          </c:extLst>
        </c:ser>
        <c:ser>
          <c:idx val="5"/>
          <c:order val="3"/>
          <c:tx>
            <c:strRef>
              <c:f>'Chart Data'!$AQ$9</c:f>
              <c:strCache>
                <c:ptCount val="1"/>
                <c:pt idx="0">
                  <c:v>Cumulative Earned Value</c:v>
                </c:pt>
              </c:strCache>
            </c:strRef>
          </c:tx>
          <c:spPr>
            <a:ln w="19050">
              <a:solidFill>
                <a:schemeClr val="accent1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5FB88E02-CA64-441B-9099-94DABA2D0F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4877-48BF-AC43-45CEE2B837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F0A6E5F-AFFC-42EE-BF0F-AC39DE38839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877-48BF-AC43-45CEE2B837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DB42EF3-F91B-4A1E-B6C0-295685C092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877-48BF-AC43-45CEE2B8379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DBC216D-0A63-48F9-AD6C-1920E7BF4E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877-48BF-AC43-45CEE2B8379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FB66870-CFD3-4634-BD35-1999969C67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8E8-4E2A-A9A2-FCF875AD974B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chemeClr val="dk1"/>
                    </a:solidFill>
                    <a:latin typeface="Arial Nova Light" panose="020B03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'Chart Data'!$AR$11:$AR$15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 formatCode="0.00">
                  <c:v>15</c:v>
                </c:pt>
                <c:pt idx="3" formatCode="0.00">
                  <c:v>15</c:v>
                </c:pt>
                <c:pt idx="4" formatCode="0.00">
                  <c:v>15</c:v>
                </c:pt>
              </c:numCache>
            </c:numRef>
          </c:xVal>
          <c:yVal>
            <c:numRef>
              <c:f>'Chart Data'!$AS$11:$AS$15</c:f>
              <c:numCache>
                <c:formatCode>General</c:formatCode>
                <c:ptCount val="5"/>
                <c:pt idx="0">
                  <c:v>50299999.999999993</c:v>
                </c:pt>
                <c:pt idx="1">
                  <c:v>50299999.999999993</c:v>
                </c:pt>
                <c:pt idx="2">
                  <c:v>50299999.999999993</c:v>
                </c:pt>
                <c:pt idx="3">
                  <c:v>16000000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Data'!$AQ$11:$AQ$15</c15:f>
                <c15:dlblRangeCache>
                  <c:ptCount val="5"/>
                  <c:pt idx="1">
                    <c:v>Cumulative Earned Value (Now)</c:v>
                  </c:pt>
                  <c:pt idx="3">
                    <c:v>Status Date</c:v>
                  </c:pt>
                  <c:pt idx="4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4877-48BF-AC43-45CEE2B83792}"/>
            </c:ext>
          </c:extLst>
        </c:ser>
        <c:ser>
          <c:idx val="10"/>
          <c:order val="4"/>
          <c:tx>
            <c:strRef>
              <c:f>'Chart Data'!$AQ$17</c:f>
              <c:strCache>
                <c:ptCount val="1"/>
                <c:pt idx="0">
                  <c:v>Cumulative Planned Value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49D460EE-B150-4E72-8657-1136E1F8FA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4877-48BF-AC43-45CEE2B83792}"/>
                </c:ext>
              </c:extLst>
            </c:dLbl>
            <c:dLbl>
              <c:idx val="1"/>
              <c:tx>
                <c:rich>
                  <a:bodyPr vertOverflow="overflow" horzOverflow="overflow" wrap="none" lIns="0" tIns="0" rIns="0" bIns="0" anchor="ctr">
                    <a:no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6BC15F91-C2F8-4673-98AC-9DACAFD8EBA7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11990337277702"/>
                      <c:h val="3.830762325819813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4877-48BF-AC43-45CEE2B837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0B69F8E-BD8D-4C4F-84CA-4ED189095E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877-48BF-AC43-45CEE2B837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Data'!$AR$19:$AR$21</c:f>
              <c:numCache>
                <c:formatCode>General</c:formatCode>
                <c:ptCount val="3"/>
                <c:pt idx="0">
                  <c:v>0</c:v>
                </c:pt>
                <c:pt idx="1">
                  <c:v>7.5</c:v>
                </c:pt>
                <c:pt idx="2" formatCode="0.00">
                  <c:v>15</c:v>
                </c:pt>
              </c:numCache>
            </c:numRef>
          </c:xVal>
          <c:yVal>
            <c:numRef>
              <c:f>'Chart Data'!$AS$19:$AS$21</c:f>
              <c:numCache>
                <c:formatCode>General</c:formatCode>
                <c:ptCount val="3"/>
                <c:pt idx="0">
                  <c:v>78106207.430224136</c:v>
                </c:pt>
                <c:pt idx="1">
                  <c:v>78106207.430224136</c:v>
                </c:pt>
                <c:pt idx="2">
                  <c:v>78106207.430224136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Data'!$AQ$19:$AQ$21</c15:f>
                <c15:dlblRangeCache>
                  <c:ptCount val="3"/>
                  <c:pt idx="1">
                    <c:v>Planned Value to Date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4877-48BF-AC43-45CEE2B83792}"/>
            </c:ext>
          </c:extLst>
        </c:ser>
        <c:ser>
          <c:idx val="11"/>
          <c:order val="7"/>
          <c:tx>
            <c:v>Actual Cost to Date</c:v>
          </c:tx>
          <c:spPr>
            <a:ln w="12700">
              <a:solidFill>
                <a:schemeClr val="accent3"/>
              </a:solidFill>
            </a:ln>
          </c:spPr>
          <c:marker>
            <c:symbol val="none"/>
          </c:marker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3-4877-48BF-AC43-45CEE2B83792}"/>
              </c:ext>
            </c:extLst>
          </c:dPt>
          <c:xVal>
            <c:numRef>
              <c:f>'Chart Data'!$S$3:$S$33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xVal>
          <c:yVal>
            <c:numRef>
              <c:f>'Chart Data'!$V$3:$V$33</c:f>
              <c:numCache>
                <c:formatCode>General</c:formatCode>
                <c:ptCount val="31"/>
                <c:pt idx="0">
                  <c:v>0</c:v>
                </c:pt>
                <c:pt idx="1">
                  <c:v>1421622.7547118734</c:v>
                </c:pt>
                <c:pt idx="2">
                  <c:v>3118418.5797024793</c:v>
                </c:pt>
                <c:pt idx="3">
                  <c:v>5134061.7544289101</c:v>
                </c:pt>
                <c:pt idx="4">
                  <c:v>7515012.0934158238</c:v>
                </c:pt>
                <c:pt idx="5">
                  <c:v>10308826.551028855</c:v>
                </c:pt>
                <c:pt idx="6">
                  <c:v>13561618.082506869</c:v>
                </c:pt>
                <c:pt idx="7">
                  <c:v>17314562.952971365</c:v>
                </c:pt>
                <c:pt idx="8">
                  <c:v>21599479.306924</c:v>
                </c:pt>
                <c:pt idx="9">
                  <c:v>26433696.950413063</c:v>
                </c:pt>
                <c:pt idx="10">
                  <c:v>31814701.237123687</c:v>
                </c:pt>
                <c:pt idx="11">
                  <c:v>37715317.687306345</c:v>
                </c:pt>
                <c:pt idx="12">
                  <c:v>44080421.651255101</c:v>
                </c:pt>
                <c:pt idx="13">
                  <c:v>50826193.926843315</c:v>
                </c:pt>
                <c:pt idx="14">
                  <c:v>57842697.729863882</c:v>
                </c:pt>
                <c:pt idx="15">
                  <c:v>64999999.999999985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4877-48BF-AC43-45CEE2B83792}"/>
            </c:ext>
          </c:extLst>
        </c:ser>
        <c:ser>
          <c:idx val="12"/>
          <c:order val="8"/>
          <c:tx>
            <c:v>Earned Value to Date</c:v>
          </c:tx>
          <c:spPr>
            <a:ln w="12700">
              <a:solidFill>
                <a:srgbClr val="002060"/>
              </a:solidFill>
            </a:ln>
          </c:spPr>
          <c:marker>
            <c:symbol val="none"/>
          </c:marker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4-4877-48BF-AC43-45CEE2B83792}"/>
              </c:ext>
            </c:extLst>
          </c:dPt>
          <c:xVal>
            <c:numRef>
              <c:f>'Chart Data'!$S$3:$S$33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xVal>
          <c:yVal>
            <c:numRef>
              <c:f>'Chart Data'!$U$3:$U$33</c:f>
              <c:numCache>
                <c:formatCode>General</c:formatCode>
                <c:ptCount val="31"/>
                <c:pt idx="0">
                  <c:v>0</c:v>
                </c:pt>
                <c:pt idx="1">
                  <c:v>1478455.6243997603</c:v>
                </c:pt>
                <c:pt idx="2">
                  <c:v>3174155.8634039946</c:v>
                </c:pt>
                <c:pt idx="3">
                  <c:v>5109699.1571174189</c:v>
                </c:pt>
                <c:pt idx="4">
                  <c:v>7306928.251828202</c:v>
                </c:pt>
                <c:pt idx="5">
                  <c:v>9785751.0093946029</c:v>
                </c:pt>
                <c:pt idx="6">
                  <c:v>12562701.762166522</c:v>
                </c:pt>
                <c:pt idx="7">
                  <c:v>15649287.697149307</c:v>
                </c:pt>
                <c:pt idx="8">
                  <c:v>19050213.950931884</c:v>
                </c:pt>
                <c:pt idx="9">
                  <c:v>22761636.822139148</c:v>
                </c:pt>
                <c:pt idx="10">
                  <c:v>26769647.004476327</c:v>
                </c:pt>
                <c:pt idx="11">
                  <c:v>31049219.71925937</c:v>
                </c:pt>
                <c:pt idx="12">
                  <c:v>35563869.744324185</c:v>
                </c:pt>
                <c:pt idx="13">
                  <c:v>40266203.122053586</c:v>
                </c:pt>
                <c:pt idx="14">
                  <c:v>45099459.51346156</c:v>
                </c:pt>
                <c:pt idx="15">
                  <c:v>49999999.999999993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4877-48BF-AC43-45CEE2B83792}"/>
            </c:ext>
          </c:extLst>
        </c:ser>
        <c:ser>
          <c:idx val="8"/>
          <c:order val="13"/>
          <c:tx>
            <c:strRef>
              <c:f>'Chart Data'!$AU$1</c:f>
              <c:strCache>
                <c:ptCount val="1"/>
                <c:pt idx="0">
                  <c:v>Cost Variance</c:v>
                </c:pt>
              </c:strCache>
              <c:extLst xmlns:c15="http://schemas.microsoft.com/office/drawing/2012/chart"/>
            </c:strRef>
          </c:tx>
          <c:spPr>
            <a:ln w="12700">
              <a:solidFill>
                <a:schemeClr val="accent3">
                  <a:lumMod val="50000"/>
                </a:schemeClr>
              </a:solidFill>
              <a:prstDash val="sysDot"/>
              <a:headEnd type="arrow"/>
              <a:tailEnd type="arrow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876AF22-011B-43D2-BD37-4785EEF77E6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4877-48BF-AC43-45CEE2B837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6C09611-3484-4229-9AED-CF66FC25E5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4877-48BF-AC43-45CEE2B837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991A259B-0DB4-442D-B41A-F6BB709BC9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4877-48BF-AC43-45CEE2B83792}"/>
                </c:ext>
              </c:extLst>
            </c:dLbl>
            <c:spPr>
              <a:solidFill>
                <a:schemeClr val="bg1">
                  <a:alpha val="75000"/>
                </a:schemeClr>
              </a:solidFill>
              <a:ln>
                <a:noFill/>
              </a:ln>
              <a:effectLst/>
            </c:spPr>
            <c:txPr>
              <a:bodyPr vertOverflow="clip" horzOverflow="clip" wrap="none" lIns="0" tIns="0" rIns="0" bIns="0" anchor="ctr">
                <a:spAutoFit/>
              </a:bodyPr>
              <a:lstStyle/>
              <a:p>
                <a:pPr>
                  <a:defRPr sz="1100" b="1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'Chart Data'!$AV$3:$AV$5</c:f>
              <c:numCache>
                <c:formatCode>General</c:formatCode>
                <c:ptCount val="3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</c:numCache>
              <c:extLst xmlns:c15="http://schemas.microsoft.com/office/drawing/2012/chart"/>
            </c:numRef>
          </c:xVal>
          <c:yVal>
            <c:numRef>
              <c:f>'Chart Data'!$AW$3:$AW$5</c:f>
              <c:numCache>
                <c:formatCode>General</c:formatCode>
                <c:ptCount val="3"/>
                <c:pt idx="0">
                  <c:v>64999999.999999985</c:v>
                </c:pt>
                <c:pt idx="1">
                  <c:v>57499999.999999985</c:v>
                </c:pt>
                <c:pt idx="2">
                  <c:v>49999999.999999993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5="http://schemas.microsoft.com/office/drawing/2012/chart" uri="{02D57815-91ED-43cb-92C2-25804820EDAC}">
              <c15:datalabelsRange>
                <c15:f>'Chart Data'!$AU$3:$AU$5</c15:f>
                <c15:dlblRangeCache>
                  <c:ptCount val="3"/>
                  <c:pt idx="1">
                    <c:v>CV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4-4877-48BF-AC43-45CEE2B83792}"/>
            </c:ext>
          </c:extLst>
        </c:ser>
        <c:ser>
          <c:idx val="9"/>
          <c:order val="14"/>
          <c:tx>
            <c:strRef>
              <c:f>'Chart Data'!$AU$7</c:f>
              <c:strCache>
                <c:ptCount val="1"/>
                <c:pt idx="0">
                  <c:v>Schedule Variance</c:v>
                </c:pt>
              </c:strCache>
              <c:extLst xmlns:c15="http://schemas.microsoft.com/office/drawing/2012/chart"/>
            </c:strRef>
          </c:tx>
          <c:spPr>
            <a:ln w="12700">
              <a:solidFill>
                <a:srgbClr val="FF0000"/>
              </a:solidFill>
              <a:prstDash val="sysDot"/>
              <a:headEnd type="arrow"/>
              <a:tailEnd type="arrow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C8CE969B-546D-4476-8A2D-FBCBDC0BDF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4877-48BF-AC43-45CEE2B8379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19B07DA-FC32-4E36-ABF7-0EA4724C90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4877-48BF-AC43-45CEE2B837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9BADDA8-FBC3-49D0-B818-49195A8189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4877-48BF-AC43-45CEE2B83792}"/>
                </c:ext>
              </c:extLst>
            </c:dLbl>
            <c:spPr>
              <a:solidFill>
                <a:schemeClr val="bg1">
                  <a:alpha val="75000"/>
                </a:schemeClr>
              </a:solidFill>
              <a:ln>
                <a:noFill/>
              </a:ln>
              <a:effectLst/>
            </c:spPr>
            <c:txPr>
              <a:bodyPr vertOverflow="clip" horzOverflow="clip" wrap="none" lIns="0" tIns="0" rIns="0" bIns="0" anchor="ctr">
                <a:spAutoFit/>
              </a:bodyPr>
              <a:lstStyle/>
              <a:p>
                <a:pPr>
                  <a:defRPr sz="1100" b="1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'Chart Data'!$AV$9:$AV$11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  <c:extLst xmlns:c15="http://schemas.microsoft.com/office/drawing/2012/chart"/>
            </c:numRef>
          </c:xVal>
          <c:yVal>
            <c:numRef>
              <c:f>'Chart Data'!$AW$9:$AW$11</c:f>
              <c:numCache>
                <c:formatCode>General</c:formatCode>
                <c:ptCount val="3"/>
                <c:pt idx="0">
                  <c:v>78106207.430224136</c:v>
                </c:pt>
                <c:pt idx="1">
                  <c:v>64053103.71511206</c:v>
                </c:pt>
                <c:pt idx="2">
                  <c:v>49999999.999999993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5="http://schemas.microsoft.com/office/drawing/2012/chart" uri="{02D57815-91ED-43cb-92C2-25804820EDAC}">
              <c15:datalabelsRange>
                <c15:f>'Chart Data'!$AU$9:$AU$11</c15:f>
                <c15:dlblRangeCache>
                  <c:ptCount val="3"/>
                  <c:pt idx="1">
                    <c:v>SV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8-4877-48BF-AC43-45CEE2B83792}"/>
            </c:ext>
          </c:extLst>
        </c:ser>
        <c:ser>
          <c:idx val="0"/>
          <c:order val="15"/>
          <c:tx>
            <c:v>Planned Value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2-4877-48BF-AC43-45CEE2B83792}"/>
              </c:ext>
            </c:extLst>
          </c:dPt>
          <c:xVal>
            <c:numRef>
              <c:f>'Chart Data'!$E$3:$E$27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  <c:extLst xmlns:c15="http://schemas.microsoft.com/office/drawing/2012/chart"/>
            </c:numRef>
          </c:xVal>
          <c:yVal>
            <c:numRef>
              <c:f>'Chart Data'!$F$3:$F$27</c:f>
              <c:numCache>
                <c:formatCode>_("$"* #,##0_);_("$"* \(#,##0\);_("$"* "-"??_);_(@_)</c:formatCode>
                <c:ptCount val="25"/>
                <c:pt idx="0">
                  <c:v>0</c:v>
                </c:pt>
                <c:pt idx="1">
                  <c:v>347097.34666395112</c:v>
                </c:pt>
                <c:pt idx="2">
                  <c:v>869063.31807220192</c:v>
                </c:pt>
                <c:pt idx="3">
                  <c:v>1650545.6099969603</c:v>
                </c:pt>
                <c:pt idx="4">
                  <c:v>2812886.9401066336</c:v>
                </c:pt>
                <c:pt idx="5">
                  <c:v>4524862.6818683473</c:v>
                </c:pt>
                <c:pt idx="6">
                  <c:v>7010371.6545108147</c:v>
                </c:pt>
                <c:pt idx="7">
                  <c:v>10544593.489371434</c:v>
                </c:pt>
                <c:pt idx="8">
                  <c:v>15424087.634018205</c:v>
                </c:pt>
                <c:pt idx="9">
                  <c:v>21893792.569775846</c:v>
                </c:pt>
                <c:pt idx="10">
                  <c:v>30026715.167758327</c:v>
                </c:pt>
                <c:pt idx="11">
                  <c:v>39592149.822794147</c:v>
                </c:pt>
                <c:pt idx="12">
                  <c:v>49999999.999999993</c:v>
                </c:pt>
                <c:pt idx="13">
                  <c:v>60407850.177205808</c:v>
                </c:pt>
                <c:pt idx="14">
                  <c:v>69973284.832241684</c:v>
                </c:pt>
                <c:pt idx="15">
                  <c:v>78106207.430224136</c:v>
                </c:pt>
                <c:pt idx="16">
                  <c:v>84575912.365981773</c:v>
                </c:pt>
                <c:pt idx="17">
                  <c:v>89455406.510628566</c:v>
                </c:pt>
                <c:pt idx="18">
                  <c:v>92989628.345489189</c:v>
                </c:pt>
                <c:pt idx="19">
                  <c:v>95475137.318131626</c:v>
                </c:pt>
                <c:pt idx="20">
                  <c:v>97187113.05989337</c:v>
                </c:pt>
                <c:pt idx="21">
                  <c:v>98349454.390003026</c:v>
                </c:pt>
                <c:pt idx="22">
                  <c:v>99130936.681927785</c:v>
                </c:pt>
                <c:pt idx="23">
                  <c:v>99652902.653336033</c:v>
                </c:pt>
                <c:pt idx="24">
                  <c:v>100000000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1-4877-48BF-AC43-45CEE2B83792}"/>
            </c:ext>
          </c:extLst>
        </c:ser>
        <c:ser>
          <c:idx val="3"/>
          <c:order val="16"/>
          <c:tx>
            <c:v>Baseline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F82E12A-EFF4-4CB9-8387-DC08A13D36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4877-48BF-AC43-45CEE2B83792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871DCF2D-955C-44ED-8183-7DDEB4AF8013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99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877-48BF-AC43-45CEE2B8379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AA40F25-15A4-4FF5-ACF3-EBD49AE723F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877-48BF-AC43-45CEE2B83792}"/>
                </c:ext>
              </c:extLst>
            </c:dLbl>
            <c:dLbl>
              <c:idx val="3"/>
              <c:tx>
                <c:rich>
                  <a:bodyPr rot="5400000" vertOverflow="clip" horzOverflow="clip" vert="horz" wrap="square" lIns="38100" tIns="19050" rIns="38100" bIns="19050" anchor="t" anchorCtr="0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C96527A3-4574-488E-9257-DE0C5F461941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877-48BF-AC43-45CEE2B83792}"/>
                </c:ext>
              </c:extLst>
            </c:dLbl>
            <c:dLbl>
              <c:idx val="4"/>
              <c:tx>
                <c:rich>
                  <a:bodyPr rot="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877-48BF-AC43-45CEE2B83792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Data'!$AN$3:$AN$7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xVal>
          <c:yVal>
            <c:numRef>
              <c:f>'Chart Data'!$AO$3:$AO$7</c:f>
              <c:numCache>
                <c:formatCode>_("$"* #,##0_);_("$"* \(#,##0\);_("$"* "-"??_);_(@_)</c:formatCode>
                <c:ptCount val="5"/>
                <c:pt idx="0">
                  <c:v>100000000</c:v>
                </c:pt>
                <c:pt idx="1">
                  <c:v>100000000</c:v>
                </c:pt>
                <c:pt idx="2">
                  <c:v>100000000</c:v>
                </c:pt>
                <c:pt idx="3">
                  <c:v>50000000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Data'!$AM$3:$AM$6</c15:f>
                <c15:dlblRangeCache>
                  <c:ptCount val="4"/>
                  <c:pt idx="1">
                    <c:v>Budget At Completion</c:v>
                  </c:pt>
                  <c:pt idx="3">
                    <c:v>Planned Completion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4877-48BF-AC43-45CEE2B83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809807"/>
        <c:axId val="1052780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Actual Cost</c:v>
                </c:tx>
                <c:spPr>
                  <a:ln w="12700">
                    <a:solidFill>
                      <a:schemeClr val="accent3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'Chart Data'!$L$3:$L$33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1421622.7547118734</c:v>
                      </c:pt>
                      <c:pt idx="2">
                        <c:v>3118418.5797024793</c:v>
                      </c:pt>
                      <c:pt idx="3">
                        <c:v>5134061.7544289101</c:v>
                      </c:pt>
                      <c:pt idx="4">
                        <c:v>7515012.0934158238</c:v>
                      </c:pt>
                      <c:pt idx="5">
                        <c:v>10308826.551028855</c:v>
                      </c:pt>
                      <c:pt idx="6">
                        <c:v>13561618.082506869</c:v>
                      </c:pt>
                      <c:pt idx="7">
                        <c:v>17314562.952971365</c:v>
                      </c:pt>
                      <c:pt idx="8">
                        <c:v>21599479.306924</c:v>
                      </c:pt>
                      <c:pt idx="9">
                        <c:v>26433696.950413063</c:v>
                      </c:pt>
                      <c:pt idx="10">
                        <c:v>31814701.237123687</c:v>
                      </c:pt>
                      <c:pt idx="11">
                        <c:v>37715317.687306345</c:v>
                      </c:pt>
                      <c:pt idx="12">
                        <c:v>44080421.651255101</c:v>
                      </c:pt>
                      <c:pt idx="13">
                        <c:v>50826193.926843315</c:v>
                      </c:pt>
                      <c:pt idx="14">
                        <c:v>57842697.729863882</c:v>
                      </c:pt>
                      <c:pt idx="15">
                        <c:v>64999999.999999985</c:v>
                      </c:pt>
                      <c:pt idx="16">
                        <c:v>72157302.270136088</c:v>
                      </c:pt>
                      <c:pt idx="17">
                        <c:v>79173806.073156655</c:v>
                      </c:pt>
                      <c:pt idx="18">
                        <c:v>85919578.348744884</c:v>
                      </c:pt>
                      <c:pt idx="19">
                        <c:v>92284682.312693626</c:v>
                      </c:pt>
                      <c:pt idx="20">
                        <c:v>98185298.762876287</c:v>
                      </c:pt>
                      <c:pt idx="21">
                        <c:v>103566303.04958689</c:v>
                      </c:pt>
                      <c:pt idx="22">
                        <c:v>108400520.69307597</c:v>
                      </c:pt>
                      <c:pt idx="23">
                        <c:v>112685437.04702863</c:v>
                      </c:pt>
                      <c:pt idx="24">
                        <c:v>116438381.91749313</c:v>
                      </c:pt>
                      <c:pt idx="25">
                        <c:v>119691173.44897111</c:v>
                      </c:pt>
                      <c:pt idx="26" formatCode="General">
                        <c:v>122484987.90658414</c:v>
                      </c:pt>
                      <c:pt idx="27" formatCode="General">
                        <c:v>124865938.24557108</c:v>
                      </c:pt>
                      <c:pt idx="28" formatCode="General">
                        <c:v>126881581.42029749</c:v>
                      </c:pt>
                      <c:pt idx="29" formatCode="General">
                        <c:v>128578377.24528812</c:v>
                      </c:pt>
                      <c:pt idx="30" formatCode="General">
                        <c:v>130000000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8-4877-48BF-AC43-45CEE2B83792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Earned Value</c:v>
                </c:tx>
                <c:spPr>
                  <a:ln w="12700"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Data'!$K$3:$K$33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1478455.6243997603</c:v>
                      </c:pt>
                      <c:pt idx="2">
                        <c:v>3174155.8634039946</c:v>
                      </c:pt>
                      <c:pt idx="3">
                        <c:v>5109699.1571174189</c:v>
                      </c:pt>
                      <c:pt idx="4">
                        <c:v>7306928.251828202</c:v>
                      </c:pt>
                      <c:pt idx="5">
                        <c:v>9785751.0093946029</c:v>
                      </c:pt>
                      <c:pt idx="6">
                        <c:v>12562701.762166522</c:v>
                      </c:pt>
                      <c:pt idx="7">
                        <c:v>15649287.697149307</c:v>
                      </c:pt>
                      <c:pt idx="8">
                        <c:v>19050213.950931884</c:v>
                      </c:pt>
                      <c:pt idx="9">
                        <c:v>22761636.822139148</c:v>
                      </c:pt>
                      <c:pt idx="10">
                        <c:v>26769647.004476327</c:v>
                      </c:pt>
                      <c:pt idx="11">
                        <c:v>31049219.71925937</c:v>
                      </c:pt>
                      <c:pt idx="12">
                        <c:v>35563869.744324185</c:v>
                      </c:pt>
                      <c:pt idx="13">
                        <c:v>40266203.122053586</c:v>
                      </c:pt>
                      <c:pt idx="14">
                        <c:v>45099459.51346156</c:v>
                      </c:pt>
                      <c:pt idx="15">
                        <c:v>49999999.999999993</c:v>
                      </c:pt>
                      <c:pt idx="16">
                        <c:v>54900540.486538425</c:v>
                      </c:pt>
                      <c:pt idx="17">
                        <c:v>59733796.877946407</c:v>
                      </c:pt>
                      <c:pt idx="18">
                        <c:v>64436130.2556758</c:v>
                      </c:pt>
                      <c:pt idx="19">
                        <c:v>68950780.280740604</c:v>
                      </c:pt>
                      <c:pt idx="20">
                        <c:v>73230352.995523646</c:v>
                      </c:pt>
                      <c:pt idx="21">
                        <c:v>77238363.177860841</c:v>
                      </c:pt>
                      <c:pt idx="22">
                        <c:v>80949786.049068078</c:v>
                      </c:pt>
                      <c:pt idx="23">
                        <c:v>84350712.302850679</c:v>
                      </c:pt>
                      <c:pt idx="24">
                        <c:v>87437298.23783347</c:v>
                      </c:pt>
                      <c:pt idx="25">
                        <c:v>90214248.990605384</c:v>
                      </c:pt>
                      <c:pt idx="26">
                        <c:v>92693071.748171791</c:v>
                      </c:pt>
                      <c:pt idx="27">
                        <c:v>94890300.842882559</c:v>
                      </c:pt>
                      <c:pt idx="28">
                        <c:v>96825844.136595994</c:v>
                      </c:pt>
                      <c:pt idx="29">
                        <c:v>98521544.375600234</c:v>
                      </c:pt>
                      <c:pt idx="30">
                        <c:v>100000000.00000001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9-4877-48BF-AC43-45CEE2B83792}"/>
                  </c:ext>
                </c:extLst>
              </c15:ser>
            </c15:filteredScatterSeries>
            <c15:filteredScatterSeries>
              <c15:ser>
                <c:idx val="6"/>
                <c:order val="5"/>
                <c:tx>
                  <c:v>EV(Now)=PV(ES)</c:v>
                </c:tx>
                <c:spPr>
                  <a:ln w="25400">
                    <a:solidFill>
                      <a:schemeClr val="tx1"/>
                    </a:solidFill>
                    <a:tailEnd type="triangle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Data'!$AZ$11:$AZ$12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15</c:v>
                      </c:pt>
                      <c:pt idx="1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Data'!$BA$11:$BA$12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46999999.999999993</c:v>
                      </c:pt>
                      <c:pt idx="1">
                        <c:v>46999999.999999993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4877-48BF-AC43-45CEE2B83792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Final Actuals</c:v>
                </c:tx>
                <c:spPr>
                  <a:ln w="19050">
                    <a:solidFill>
                      <a:srgbClr val="00B050"/>
                    </a:solidFill>
                    <a:prstDash val="lgDash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6B995856-EBA7-4BB0-9475-0B6417CCAF0B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B-4877-48BF-AC43-45CEE2B83792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2B1CB587-95E5-4A1E-927E-D2AE91A776AC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C-4877-48BF-AC43-45CEE2B83792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DF710B7E-9D61-4F0D-8C5C-74758C813FBA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D-4877-48BF-AC43-45CEE2B83792}"/>
                      </c:ext>
                    </c:extLst>
                  </c:dLbl>
                  <c:dLbl>
                    <c:idx val="3"/>
                    <c:tx>
                      <c:rich>
                        <a:bodyPr rot="5400000" vert="horz" wrap="square" lIns="38100" tIns="19050" rIns="38100" bIns="19050" anchor="ctr">
                          <a:spAutoFit/>
                        </a:bodyPr>
                        <a:lstStyle/>
                        <a:p>
                          <a:pPr>
                            <a:defRPr sz="1100">
                              <a:latin typeface="Arial Nova Light" panose="020B0304020202020204" pitchFamily="34" charset="0"/>
                            </a:defRPr>
                          </a:pPr>
                          <a:fld id="{2E9F858A-AE9F-4417-B7D7-B10EDD4D77A8}" type="CELLRANGE">
                            <a:rPr lang="en-US"/>
                            <a:pPr>
                              <a:defRPr sz="1100">
                                <a:latin typeface="Arial Nova Light" panose="020B0304020202020204" pitchFamily="34" charset="0"/>
                              </a:defRPr>
                            </a:pPr>
                            <a:t>[CELLRANGE]</a:t>
                          </a:fld>
                          <a:endParaRPr lang="en-US"/>
                        </a:p>
                      </c:rich>
                    </c:tx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E-4877-48BF-AC43-45CEE2B83792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04831654-D78B-494D-9FA5-09F0606B6DC6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F-4877-48BF-AC43-45CEE2B83792}"/>
                      </c:ext>
                    </c:extLst>
                  </c:dLbl>
                  <c:spPr>
                    <a:solidFill>
                      <a:schemeClr val="bg1">
                        <a:alpha val="7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Data'!$BD$3:$BD$7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15</c:v>
                      </c:pt>
                      <c:pt idx="2">
                        <c:v>30</c:v>
                      </c:pt>
                      <c:pt idx="3">
                        <c:v>30</c:v>
                      </c:pt>
                      <c:pt idx="4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Data'!$BE$3:$BE$7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130000000</c:v>
                      </c:pt>
                      <c:pt idx="1">
                        <c:v>130000000</c:v>
                      </c:pt>
                      <c:pt idx="2">
                        <c:v>130000000</c:v>
                      </c:pt>
                      <c:pt idx="3">
                        <c:v>65000000</c:v>
                      </c:pt>
                      <c:pt idx="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Data'!$BC$3:$BC$7</c15:f>
                      <c15:dlblRangeCache>
                        <c:ptCount val="5"/>
                        <c:pt idx="1">
                          <c:v>Final Cost</c:v>
                        </c:pt>
                        <c:pt idx="3">
                          <c:v>Final Duration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0-4877-48BF-AC43-45CEE2B83792}"/>
                  </c:ext>
                </c:extLst>
              </c15:ser>
            </c15:filteredScatterSeries>
            <c15:filteredScatterSeries>
              <c15:ser>
                <c:idx val="13"/>
                <c:order val="9"/>
                <c:tx>
                  <c:v>Planned Value to Date</c:v>
                </c:tx>
                <c:spPr>
                  <a:ln w="12700">
                    <a:solidFill>
                      <a:srgbClr val="C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Data'!$S$3:$S$33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Data'!$T$3:$T$33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347097.34666395112</c:v>
                      </c:pt>
                      <c:pt idx="2">
                        <c:v>869063.31807220192</c:v>
                      </c:pt>
                      <c:pt idx="3">
                        <c:v>1650545.6099969603</c:v>
                      </c:pt>
                      <c:pt idx="4">
                        <c:v>2812886.9401066336</c:v>
                      </c:pt>
                      <c:pt idx="5">
                        <c:v>4524862.6818683473</c:v>
                      </c:pt>
                      <c:pt idx="6">
                        <c:v>7010371.6545108147</c:v>
                      </c:pt>
                      <c:pt idx="7">
                        <c:v>10544593.489371434</c:v>
                      </c:pt>
                      <c:pt idx="8">
                        <c:v>15424087.634018205</c:v>
                      </c:pt>
                      <c:pt idx="9">
                        <c:v>21893792.569775846</c:v>
                      </c:pt>
                      <c:pt idx="10">
                        <c:v>30026715.167758327</c:v>
                      </c:pt>
                      <c:pt idx="11">
                        <c:v>39592149.822794147</c:v>
                      </c:pt>
                      <c:pt idx="12">
                        <c:v>49999999.999999993</c:v>
                      </c:pt>
                      <c:pt idx="13">
                        <c:v>60407850.177205808</c:v>
                      </c:pt>
                      <c:pt idx="14">
                        <c:v>69973284.832241684</c:v>
                      </c:pt>
                      <c:pt idx="15">
                        <c:v>78106207.430224136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9-4877-48BF-AC43-45CEE2B83792}"/>
                  </c:ext>
                </c:extLst>
              </c15:ser>
            </c15:filteredScatterSeries>
            <c15:filteredScatterSeries>
              <c15:ser>
                <c:idx val="14"/>
                <c:order val="10"/>
                <c:tx>
                  <c:v>Future Actual Costs (Unknown)</c:v>
                </c:tx>
                <c:spPr>
                  <a:ln w="12700" cmpd="tri">
                    <a:solidFill>
                      <a:schemeClr val="accent3">
                        <a:lumMod val="50000"/>
                      </a:schemeClr>
                    </a:solidFill>
                    <a:prstDash val="sysDot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Data'!$W$3:$W$33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Data'!$Z$3:$Z$33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64999999.999999985</c:v>
                      </c:pt>
                      <c:pt idx="16">
                        <c:v>72157302.270136088</c:v>
                      </c:pt>
                      <c:pt idx="17">
                        <c:v>79173806.073156655</c:v>
                      </c:pt>
                      <c:pt idx="18">
                        <c:v>85919578.348744884</c:v>
                      </c:pt>
                      <c:pt idx="19">
                        <c:v>92284682.312693626</c:v>
                      </c:pt>
                      <c:pt idx="20">
                        <c:v>98185298.762876287</c:v>
                      </c:pt>
                      <c:pt idx="21">
                        <c:v>103566303.04958689</c:v>
                      </c:pt>
                      <c:pt idx="22">
                        <c:v>108400520.69307597</c:v>
                      </c:pt>
                      <c:pt idx="23">
                        <c:v>112685437.04702863</c:v>
                      </c:pt>
                      <c:pt idx="24">
                        <c:v>116438381.91749313</c:v>
                      </c:pt>
                      <c:pt idx="25">
                        <c:v>119691173.44897111</c:v>
                      </c:pt>
                      <c:pt idx="26">
                        <c:v>122484987.90658414</c:v>
                      </c:pt>
                      <c:pt idx="27">
                        <c:v>124865938.24557108</c:v>
                      </c:pt>
                      <c:pt idx="28">
                        <c:v>126881581.42029749</c:v>
                      </c:pt>
                      <c:pt idx="29">
                        <c:v>128578377.24528812</c:v>
                      </c:pt>
                      <c:pt idx="30">
                        <c:v>130000000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4877-48BF-AC43-45CEE2B83792}"/>
                  </c:ext>
                </c:extLst>
              </c15:ser>
            </c15:filteredScatterSeries>
            <c15:filteredScatterSeries>
              <c15:ser>
                <c:idx val="15"/>
                <c:order val="11"/>
                <c:tx>
                  <c:v>Future Earned Value (Unknown)</c:v>
                </c:tx>
                <c:spPr>
                  <a:ln w="12700">
                    <a:solidFill>
                      <a:schemeClr val="tx2"/>
                    </a:solidFill>
                    <a:prstDash val="sysDot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Data'!$W$3:$W$33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Data'!$Y$3:$Y$33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49999999.999999993</c:v>
                      </c:pt>
                      <c:pt idx="16">
                        <c:v>54900540.486538425</c:v>
                      </c:pt>
                      <c:pt idx="17">
                        <c:v>59733796.877946407</c:v>
                      </c:pt>
                      <c:pt idx="18">
                        <c:v>64436130.2556758</c:v>
                      </c:pt>
                      <c:pt idx="19">
                        <c:v>68950780.280740604</c:v>
                      </c:pt>
                      <c:pt idx="20">
                        <c:v>73230352.995523646</c:v>
                      </c:pt>
                      <c:pt idx="21">
                        <c:v>77238363.177860841</c:v>
                      </c:pt>
                      <c:pt idx="22">
                        <c:v>80949786.049068078</c:v>
                      </c:pt>
                      <c:pt idx="23">
                        <c:v>84350712.302850679</c:v>
                      </c:pt>
                      <c:pt idx="24">
                        <c:v>87437298.23783347</c:v>
                      </c:pt>
                      <c:pt idx="25">
                        <c:v>90214248.990605384</c:v>
                      </c:pt>
                      <c:pt idx="26">
                        <c:v>92693071.748171791</c:v>
                      </c:pt>
                      <c:pt idx="27">
                        <c:v>94890300.842882559</c:v>
                      </c:pt>
                      <c:pt idx="28">
                        <c:v>96825844.136595994</c:v>
                      </c:pt>
                      <c:pt idx="29">
                        <c:v>98521544.375600234</c:v>
                      </c:pt>
                      <c:pt idx="30">
                        <c:v>100000000.00000001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4877-48BF-AC43-45CEE2B83792}"/>
                  </c:ext>
                </c:extLst>
              </c15:ser>
            </c15:filteredScatterSeries>
            <c15:filteredScatterSeries>
              <c15:ser>
                <c:idx val="16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Data'!$AY$1</c15:sqref>
                        </c15:formulaRef>
                      </c:ext>
                    </c:extLst>
                    <c:strCache>
                      <c:ptCount val="1"/>
                      <c:pt idx="0">
                        <c:v>Earned Schedule</c:v>
                      </c:pt>
                    </c:strCache>
                  </c:strRef>
                </c:tx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3096042C-2BF9-4B3C-9E94-8854AC6CC6AF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b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C-4877-48BF-AC43-45CEE2B83792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r>
                            <a:rPr lang="en-US"/>
                            <a:t>=</a:t>
                          </a:r>
                          <a:r>
                            <a:rPr lang="en-US" baseline="0"/>
                            <a:t> </a:t>
                          </a:r>
                          <a:r>
                            <a:rPr lang="en-US"/>
                            <a:t>Planned Value</a:t>
                          </a:r>
                          <a:r>
                            <a:rPr lang="en-US" baseline="0"/>
                            <a:t> (ES)</a:t>
                          </a:r>
                          <a:endParaRPr lang="en-US"/>
                        </a:p>
                      </c:rich>
                    </c:tx>
                    <c:dLblPos val="b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D-4877-48BF-AC43-45CEE2B83792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B966089F-F557-4E9E-B98A-2EB6137A9A0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b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E-4877-48BF-AC43-45CEE2B83792}"/>
                      </c:ext>
                    </c:extLst>
                  </c:dLbl>
                  <c:dLbl>
                    <c:idx val="3"/>
                    <c:tx>
                      <c:rich>
                        <a:bodyPr rot="5400000" vertOverflow="clip" horzOverflow="clip" vert="horz" wrap="square" lIns="38100" tIns="19050" rIns="38100" bIns="19050" anchor="ctr" anchorCtr="0">
                          <a:spAutoFit/>
                        </a:bodyPr>
                        <a:lstStyle/>
                        <a:p>
                          <a:pPr algn="ctr">
                            <a:defRPr lang="en-US" sz="1100" b="0" i="0" u="none" strike="noStrike" kern="1200" baseline="0">
                              <a:solidFill>
                                <a:schemeClr val="dk1"/>
                              </a:solidFill>
                              <a:latin typeface="Arial Nova Light" panose="020B0304020202020204" pitchFamily="34" charset="0"/>
                              <a:ea typeface="+mn-ea"/>
                              <a:cs typeface="+mn-cs"/>
                            </a:defRPr>
                          </a:pPr>
                          <a:fld id="{CD9A0B5A-AA46-4A20-AF64-50181A38CCB2}" type="CELLRANGE">
                            <a:rPr lang="en-US"/>
                            <a:pPr algn="ctr">
                              <a:defRPr lang="en-US" sz="1100" b="0" i="0" u="none" strike="noStrike" kern="1200" baseline="0">
                                <a:solidFill>
                                  <a:schemeClr val="dk1"/>
                                </a:solidFill>
                                <a:latin typeface="Arial Nova Light" panose="020B0304020202020204" pitchFamily="34" charset="0"/>
                                <a:ea typeface="+mn-ea"/>
                                <a:cs typeface="+mn-cs"/>
                              </a:defRPr>
                            </a:pPr>
                            <a:t>[CELLRANGE]</a:t>
                          </a:fld>
                          <a:endParaRPr lang="en-US"/>
                        </a:p>
                      </c:rich>
                    </c:tx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F-4877-48BF-AC43-45CEE2B83792}"/>
                      </c:ext>
                    </c:extLst>
                  </c:dLbl>
                  <c:dLbl>
                    <c:idx val="4"/>
                    <c:tx>
                      <c:rich>
                        <a:bodyPr rot="0" vert="horz" wrap="square" lIns="38100" tIns="19050" rIns="38100" bIns="19050" anchor="ctr" anchorCtr="0">
                          <a:spAutoFit/>
                        </a:bodyPr>
                        <a:lstStyle/>
                        <a:p>
                          <a:pPr algn="ctr">
                            <a:defRPr lang="en-US" sz="1100" b="0" i="0" u="none" strike="noStrike" kern="1200" baseline="0">
                              <a:solidFill>
                                <a:schemeClr val="dk1"/>
                              </a:solidFill>
                              <a:latin typeface="Arial Nova Light" panose="020B0304020202020204" pitchFamily="34" charset="0"/>
                              <a:ea typeface="+mn-ea"/>
                              <a:cs typeface="+mn-cs"/>
                            </a:defRPr>
                          </a:pPr>
                          <a:fld id="{0694C0EB-9937-4FA1-9626-E079EE4C96D8}" type="XVALUE">
                            <a:rPr lang="en-US"/>
                            <a:pPr algn="ctr">
                              <a:defRPr lang="en-US" sz="1100" b="0" i="0" u="none" strike="noStrike" kern="1200" baseline="0">
                                <a:solidFill>
                                  <a:schemeClr val="dk1"/>
                                </a:solidFill>
                                <a:latin typeface="Arial Nova Light" panose="020B0304020202020204" pitchFamily="34" charset="0"/>
                                <a:ea typeface="+mn-ea"/>
                                <a:cs typeface="+mn-cs"/>
                              </a:defRPr>
                            </a:pPr>
                            <a:t>[X VALUE]</a:t>
                          </a:fld>
                          <a:endParaRPr lang="en-US"/>
                        </a:p>
                      </c:rich>
                    </c:tx>
                    <c:numFmt formatCode="#,##0.0" sourceLinked="0"/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dLblPos val="b"/>
                    <c:showLegendKey val="0"/>
                    <c:showVal val="0"/>
                    <c:showCatName val="1"/>
                    <c:showSerName val="0"/>
                    <c:showPercent val="0"/>
                    <c:showBubbleSize val="0"/>
                    <c:separator> </c:separator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30-4877-48BF-AC43-45CEE2B83792}"/>
                      </c:ext>
                    </c:extLst>
                  </c:dLbl>
                  <c:spPr>
                    <a:solidFill>
                      <a:schemeClr val="bg1">
                        <a:alpha val="7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 anchorCtr="0">
                      <a:spAutoFit/>
                    </a:bodyPr>
                    <a:lstStyle/>
                    <a:p>
                      <a:pPr algn="ctr">
                        <a:defRPr lang="en-US" sz="1100" b="0" i="0" u="none" strike="noStrike" kern="1200" baseline="0">
                          <a:solidFill>
                            <a:schemeClr val="dk1"/>
                          </a:solidFill>
                          <a:latin typeface="Arial Nova Light" panose="020B0304020202020204" pitchFamily="34" charset="0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1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Data'!$AZ$3:$AZ$7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7.5</c:v>
                      </c:pt>
                      <c:pt idx="2" formatCode="0.00">
                        <c:v>12</c:v>
                      </c:pt>
                      <c:pt idx="3" formatCode="0.00">
                        <c:v>12</c:v>
                      </c:pt>
                      <c:pt idx="4" formatCode="0.00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Data'!$BA$3:$BA$7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49999999.999999993</c:v>
                      </c:pt>
                      <c:pt idx="1">
                        <c:v>49999999.999999993</c:v>
                      </c:pt>
                      <c:pt idx="2">
                        <c:v>49999999.999999993</c:v>
                      </c:pt>
                      <c:pt idx="3">
                        <c:v>16000000</c:v>
                      </c:pt>
                      <c:pt idx="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Data'!$AY$3:$AY$6</c15:f>
                      <c15:dlblRangeCache>
                        <c:ptCount val="4"/>
                        <c:pt idx="1">
                          <c:v>Earned Value to Date</c:v>
                        </c:pt>
                        <c:pt idx="3">
                          <c:v>Earned Schedule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31-4877-48BF-AC43-45CEE2B83792}"/>
                  </c:ext>
                </c:extLst>
              </c15:ser>
            </c15:filteredScatterSeries>
          </c:ext>
        </c:extLst>
      </c:scatterChart>
      <c:valAx>
        <c:axId val="1052809807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80527"/>
        <c:crosses val="autoZero"/>
        <c:crossBetween val="midCat"/>
      </c:valAx>
      <c:valAx>
        <c:axId val="1052780527"/>
        <c:scaling>
          <c:orientation val="minMax"/>
          <c:max val="12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809807"/>
        <c:crosses val="autoZero"/>
        <c:crossBetween val="midCat"/>
      </c:valAx>
      <c:spPr>
        <a:solidFill>
          <a:schemeClr val="bg1"/>
        </a:solidFill>
        <a:ln w="12700">
          <a:solidFill>
            <a:schemeClr val="tx2"/>
          </a:solidFill>
        </a:ln>
      </c:spPr>
    </c:plotArea>
    <c:legend>
      <c:legendPos val="b"/>
      <c:legendEntry>
        <c:idx val="5"/>
        <c:txPr>
          <a:bodyPr/>
          <a:lstStyle/>
          <a:p>
            <a:pPr>
              <a:defRPr b="1"/>
            </a:pPr>
            <a:endParaRPr lang="en-US"/>
          </a:p>
        </c:txPr>
      </c:legendEntry>
      <c:legendEntry>
        <c:idx val="6"/>
        <c:txPr>
          <a:bodyPr/>
          <a:lstStyle/>
          <a:p>
            <a:pPr>
              <a:defRPr b="1"/>
            </a:pPr>
            <a:endParaRPr lang="en-US"/>
          </a:p>
        </c:txPr>
      </c:legendEntry>
      <c:layout>
        <c:manualLayout>
          <c:xMode val="edge"/>
          <c:yMode val="edge"/>
          <c:x val="0.20967575206945285"/>
          <c:y val="0.88114418171173214"/>
          <c:w val="0.68668431830636556"/>
          <c:h val="7.013824334173705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EVM Concepts - Earned Schedule 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159719099511103"/>
          <c:y val="6.7201727724733831E-2"/>
          <c:w val="0.81820575992006728"/>
          <c:h val="0.76956862351179955"/>
        </c:manualLayout>
      </c:layout>
      <c:scatterChart>
        <c:scatterStyle val="lineMarker"/>
        <c:varyColors val="0"/>
        <c:ser>
          <c:idx val="5"/>
          <c:order val="3"/>
          <c:tx>
            <c:strRef>
              <c:f>'Chart Data'!$AQ$9</c:f>
              <c:strCache>
                <c:ptCount val="1"/>
                <c:pt idx="0">
                  <c:v>Cumulative Earned Value</c:v>
                </c:pt>
              </c:strCache>
            </c:strRef>
          </c:tx>
          <c:spPr>
            <a:ln w="19050">
              <a:solidFill>
                <a:schemeClr val="accent1"/>
              </a:solidFill>
              <a:prstDash val="sysDash"/>
            </a:ln>
          </c:spPr>
          <c:marker>
            <c:symbol val="none"/>
          </c:marker>
          <c:dPt>
            <c:idx val="2"/>
            <c:marker>
              <c:symbol val="circle"/>
              <c:size val="6"/>
              <c:spPr>
                <a:solidFill>
                  <a:schemeClr val="bg1"/>
                </a:solidFill>
                <a:ln>
                  <a:solidFill>
                    <a:schemeClr val="tx2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5C8-4267-92F9-D1D721BECC9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536A6CF8-7B6C-4F7D-8EA7-E17617ED2D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5C8-4267-92F9-D1D721BECC96}"/>
                </c:ext>
              </c:extLst>
            </c:dLbl>
            <c:dLbl>
              <c:idx val="1"/>
              <c:tx>
                <c:rich>
                  <a:bodyPr wrap="none" lIns="38100" tIns="19050" rIns="38100" bIns="19050" anchor="ctr" anchorCtr="0">
                    <a:spAutoFit/>
                  </a:bodyPr>
                  <a:lstStyle/>
                  <a:p>
                    <a:pPr algn="ctr">
                      <a:defRPr lang="en-US" sz="1100" b="1" i="0" u="none" strike="noStrike" kern="1200" baseline="0">
                        <a:solidFill>
                          <a:schemeClr val="dk1"/>
                        </a:solidFill>
                        <a:latin typeface="Arial Nova Light" panose="020B0304020202020204" pitchFamily="34" charset="0"/>
                        <a:ea typeface="+mn-ea"/>
                        <a:cs typeface="+mn-cs"/>
                      </a:defRPr>
                    </a:pPr>
                    <a:fld id="{F272C368-EFC4-4908-8E4F-743F003654FF}" type="CELLRANGE">
                      <a:rPr lang="en-US" b="1"/>
                      <a:pPr algn="ctr">
                        <a:defRPr lang="en-US" sz="1100" b="1" i="0" u="none" strike="noStrike" kern="1200" baseline="0">
                          <a:solidFill>
                            <a:schemeClr val="dk1"/>
                          </a:solidFill>
                          <a:latin typeface="Arial Nova Light" panose="020B0304020202020204" pitchFamily="34" charset="0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5C8-4267-92F9-D1D721BECC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E3302A65-9C04-4350-B7FD-D28FCD13964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5C8-4267-92F9-D1D721BECC96}"/>
                </c:ext>
              </c:extLst>
            </c:dLbl>
            <c:dLbl>
              <c:idx val="3"/>
              <c:tx>
                <c:rich>
                  <a:bodyPr rot="5400000" vert="horz" wrap="none" lIns="38100" tIns="19050" rIns="38100" bIns="19050" anchor="ctr" anchorCtr="0">
                    <a:spAutoFit/>
                  </a:bodyPr>
                  <a:lstStyle/>
                  <a:p>
                    <a:pPr algn="ctr">
                      <a:defRPr lang="en-US" sz="1100" b="0" i="0" u="none" strike="noStrike" kern="1200" baseline="0">
                        <a:solidFill>
                          <a:schemeClr val="dk1"/>
                        </a:solidFill>
                        <a:latin typeface="Arial Nova Light" panose="020B0304020202020204" pitchFamily="34" charset="0"/>
                        <a:ea typeface="+mn-ea"/>
                        <a:cs typeface="+mn-cs"/>
                      </a:defRPr>
                    </a:pPr>
                    <a:fld id="{6E8B520F-C40C-4E07-92D9-A722FEB536EC}" type="CELLRANGE">
                      <a:rPr lang="en-US"/>
                      <a:pPr algn="ctr">
                        <a:defRPr lang="en-US" sz="1100" b="0" i="0" u="none" strike="noStrike" kern="1200" baseline="0">
                          <a:solidFill>
                            <a:schemeClr val="dk1"/>
                          </a:solidFill>
                          <a:latin typeface="Arial Nova Light" panose="020B0304020202020204" pitchFamily="34" charset="0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5C8-4267-92F9-D1D721BECC96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B30-4BDB-A60A-7F928DDC0250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non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chemeClr val="dk1"/>
                    </a:solidFill>
                    <a:latin typeface="Arial Nova Light" panose="020B03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'Chart Data'!$AR$11:$AR$15</c:f>
              <c:numCache>
                <c:formatCode>General</c:formatCode>
                <c:ptCount val="5"/>
                <c:pt idx="0">
                  <c:v>0</c:v>
                </c:pt>
                <c:pt idx="1">
                  <c:v>7</c:v>
                </c:pt>
                <c:pt idx="2" formatCode="0.00">
                  <c:v>15</c:v>
                </c:pt>
                <c:pt idx="3" formatCode="0.00">
                  <c:v>15</c:v>
                </c:pt>
                <c:pt idx="4" formatCode="0.00">
                  <c:v>15</c:v>
                </c:pt>
              </c:numCache>
            </c:numRef>
          </c:xVal>
          <c:yVal>
            <c:numRef>
              <c:f>'Chart Data'!$AS$11:$AS$15</c:f>
              <c:numCache>
                <c:formatCode>General</c:formatCode>
                <c:ptCount val="5"/>
                <c:pt idx="0">
                  <c:v>50299999.999999993</c:v>
                </c:pt>
                <c:pt idx="1">
                  <c:v>50299999.999999993</c:v>
                </c:pt>
                <c:pt idx="2">
                  <c:v>50299999.999999993</c:v>
                </c:pt>
                <c:pt idx="3">
                  <c:v>16000000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Data'!$AQ$11:$AQ$15</c15:f>
                <c15:dlblRangeCache>
                  <c:ptCount val="5"/>
                  <c:pt idx="1">
                    <c:v>Cumulative Earned Value (Now)</c:v>
                  </c:pt>
                  <c:pt idx="3">
                    <c:v>Status Date</c:v>
                  </c:pt>
                  <c:pt idx="4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A5C8-4267-92F9-D1D721BECC96}"/>
            </c:ext>
          </c:extLst>
        </c:ser>
        <c:ser>
          <c:idx val="10"/>
          <c:order val="4"/>
          <c:tx>
            <c:strRef>
              <c:f>'Chart Data'!$AQ$17</c:f>
              <c:strCache>
                <c:ptCount val="1"/>
                <c:pt idx="0">
                  <c:v>Cumulative Planned Value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0A64576-0724-40E8-BD03-CE967D9517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A5C8-4267-92F9-D1D721BECC96}"/>
                </c:ext>
              </c:extLst>
            </c:dLbl>
            <c:dLbl>
              <c:idx val="1"/>
              <c:tx>
                <c:rich>
                  <a:bodyPr vertOverflow="overflow" horzOverflow="overflow" wrap="none" lIns="0" tIns="0" rIns="0" bIns="0" anchor="ctr">
                    <a:noAutofit/>
                  </a:bodyPr>
                  <a:lstStyle/>
                  <a:p>
                    <a:pPr>
                      <a:defRPr sz="1100" b="0">
                        <a:latin typeface="Arial Nova Light" panose="020B0304020202020204" pitchFamily="34" charset="0"/>
                      </a:defRPr>
                    </a:pPr>
                    <a:fld id="{ADB44398-572E-4CC0-A8BA-E0192C417D7F}" type="CELLRANGE">
                      <a:rPr lang="en-US"/>
                      <a:pPr>
                        <a:defRPr sz="1100" b="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11990337277702"/>
                      <c:h val="3.830762325819813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A5C8-4267-92F9-D1D721BECC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B260F3A-0298-4EF3-AE21-42733C3DCD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5C8-4267-92F9-D1D721BECC9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 b="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Data'!$AR$19:$AR$21</c:f>
              <c:numCache>
                <c:formatCode>General</c:formatCode>
                <c:ptCount val="3"/>
                <c:pt idx="0">
                  <c:v>0</c:v>
                </c:pt>
                <c:pt idx="1">
                  <c:v>7.5</c:v>
                </c:pt>
                <c:pt idx="2" formatCode="0.00">
                  <c:v>15</c:v>
                </c:pt>
              </c:numCache>
            </c:numRef>
          </c:xVal>
          <c:yVal>
            <c:numRef>
              <c:f>'Chart Data'!$AS$19:$AS$21</c:f>
              <c:numCache>
                <c:formatCode>General</c:formatCode>
                <c:ptCount val="3"/>
                <c:pt idx="0">
                  <c:v>78106207.430224136</c:v>
                </c:pt>
                <c:pt idx="1">
                  <c:v>78106207.430224136</c:v>
                </c:pt>
                <c:pt idx="2">
                  <c:v>78106207.430224136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Data'!$AQ$19:$AQ$21</c15:f>
                <c15:dlblRangeCache>
                  <c:ptCount val="3"/>
                  <c:pt idx="1">
                    <c:v>Planned Value to Date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A5C8-4267-92F9-D1D721BECC96}"/>
            </c:ext>
          </c:extLst>
        </c:ser>
        <c:ser>
          <c:idx val="6"/>
          <c:order val="5"/>
          <c:tx>
            <c:v>PV(ES)=EV(Now)</c:v>
          </c:tx>
          <c:spPr>
            <a:ln w="25400">
              <a:solidFill>
                <a:schemeClr val="tx1"/>
              </a:solidFill>
              <a:tailEnd type="triangle"/>
            </a:ln>
          </c:spPr>
          <c:marker>
            <c:symbol val="none"/>
          </c:marker>
          <c:xVal>
            <c:numRef>
              <c:f>'Chart Data'!$AZ$11:$AZ$12</c:f>
              <c:numCache>
                <c:formatCode>General</c:formatCode>
                <c:ptCount val="2"/>
                <c:pt idx="0">
                  <c:v>15</c:v>
                </c:pt>
                <c:pt idx="1">
                  <c:v>12</c:v>
                </c:pt>
              </c:numCache>
              <c:extLst xmlns:c15="http://schemas.microsoft.com/office/drawing/2012/chart"/>
            </c:numRef>
          </c:xVal>
          <c:yVal>
            <c:numRef>
              <c:f>'Chart Data'!$BA$11:$BA$12</c:f>
              <c:numCache>
                <c:formatCode>General</c:formatCode>
                <c:ptCount val="2"/>
                <c:pt idx="0">
                  <c:v>46999999.999999993</c:v>
                </c:pt>
                <c:pt idx="1">
                  <c:v>46999999.999999993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B-A5C8-4267-92F9-D1D721BECC96}"/>
            </c:ext>
          </c:extLst>
        </c:ser>
        <c:ser>
          <c:idx val="12"/>
          <c:order val="10"/>
          <c:tx>
            <c:v>Earned Value to Date</c:v>
          </c:tx>
          <c:spPr>
            <a:ln w="12700">
              <a:solidFill>
                <a:srgbClr val="002060"/>
              </a:solidFill>
            </a:ln>
          </c:spPr>
          <c:marker>
            <c:symbol val="none"/>
          </c:marker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33-A5C8-4267-92F9-D1D721BECC96}"/>
              </c:ext>
            </c:extLst>
          </c:dPt>
          <c:xVal>
            <c:numRef>
              <c:f>'Chart Data'!$S$3:$S$33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xVal>
          <c:yVal>
            <c:numRef>
              <c:f>'Chart Data'!$U$3:$U$33</c:f>
              <c:numCache>
                <c:formatCode>General</c:formatCode>
                <c:ptCount val="31"/>
                <c:pt idx="0">
                  <c:v>0</c:v>
                </c:pt>
                <c:pt idx="1">
                  <c:v>1478455.6243997603</c:v>
                </c:pt>
                <c:pt idx="2">
                  <c:v>3174155.8634039946</c:v>
                </c:pt>
                <c:pt idx="3">
                  <c:v>5109699.1571174189</c:v>
                </c:pt>
                <c:pt idx="4">
                  <c:v>7306928.251828202</c:v>
                </c:pt>
                <c:pt idx="5">
                  <c:v>9785751.0093946029</c:v>
                </c:pt>
                <c:pt idx="6">
                  <c:v>12562701.762166522</c:v>
                </c:pt>
                <c:pt idx="7">
                  <c:v>15649287.697149307</c:v>
                </c:pt>
                <c:pt idx="8">
                  <c:v>19050213.950931884</c:v>
                </c:pt>
                <c:pt idx="9">
                  <c:v>22761636.822139148</c:v>
                </c:pt>
                <c:pt idx="10">
                  <c:v>26769647.004476327</c:v>
                </c:pt>
                <c:pt idx="11">
                  <c:v>31049219.71925937</c:v>
                </c:pt>
                <c:pt idx="12">
                  <c:v>35563869.744324185</c:v>
                </c:pt>
                <c:pt idx="13">
                  <c:v>40266203.122053586</c:v>
                </c:pt>
                <c:pt idx="14">
                  <c:v>45099459.51346156</c:v>
                </c:pt>
                <c:pt idx="15">
                  <c:v>49999999.999999993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5C8-4267-92F9-D1D721BECC96}"/>
            </c:ext>
          </c:extLst>
        </c:ser>
        <c:ser>
          <c:idx val="16"/>
          <c:order val="14"/>
          <c:tx>
            <c:strRef>
              <c:f>'Chart Data'!$AY$1</c:f>
              <c:strCache>
                <c:ptCount val="1"/>
                <c:pt idx="0">
                  <c:v>Earned Schedule</c:v>
                </c:pt>
              </c:strCache>
              <c:extLst xmlns:c15="http://schemas.microsoft.com/office/drawing/2012/chart"/>
            </c:strRef>
          </c:tx>
          <c:spPr>
            <a:ln w="15875">
              <a:solidFill>
                <a:srgbClr val="C00000"/>
              </a:solidFill>
              <a:prstDash val="sysDash"/>
            </a:ln>
          </c:spPr>
          <c:marker>
            <c:symbol val="none"/>
          </c:marker>
          <c:dPt>
            <c:idx val="2"/>
            <c:marker>
              <c:symbol val="circle"/>
              <c:size val="6"/>
              <c:spPr>
                <a:solidFill>
                  <a:schemeClr val="bg1"/>
                </a:solidFill>
                <a:ln w="12700">
                  <a:solidFill>
                    <a:srgbClr val="C00000"/>
                  </a:solidFill>
                </a:ln>
              </c:spPr>
            </c:marker>
            <c:bubble3D val="0"/>
            <c:spPr>
              <a:ln w="12700">
                <a:solidFill>
                  <a:srgbClr val="C000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2F-A5C8-4267-92F9-D1D721BECC96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B60C6758-85C5-4A55-91B1-13A14E7A3C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D-A5C8-4267-92F9-D1D721BECC9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 b="1"/>
                      <a:t>=</a:t>
                    </a:r>
                    <a:r>
                      <a:rPr lang="en-US" b="1" baseline="0"/>
                      <a:t> </a:t>
                    </a:r>
                    <a:r>
                      <a:rPr lang="en-US" b="1"/>
                      <a:t>Planned Value</a:t>
                    </a:r>
                    <a:r>
                      <a:rPr lang="en-US" b="1" baseline="0"/>
                      <a:t> (ES)</a:t>
                    </a:r>
                    <a:endParaRPr lang="en-US" b="1"/>
                  </a:p>
                </c:rich>
              </c:tx>
              <c:dLblPos val="b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E-A5C8-4267-92F9-D1D721BECC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D3BC52D-93B9-492E-BB36-BA8735501CA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b"/>
              <c:showLegendKey val="0"/>
              <c:showVal val="0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F-A5C8-4267-92F9-D1D721BECC96}"/>
                </c:ext>
              </c:extLst>
            </c:dLbl>
            <c:dLbl>
              <c:idx val="3"/>
              <c:tx>
                <c:rich>
                  <a:bodyPr rot="5400000" vertOverflow="clip" horzOverflow="clip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lang="en-US" sz="1100" b="0" i="0" u="none" strike="noStrike" kern="1200" baseline="0">
                        <a:solidFill>
                          <a:schemeClr val="dk1"/>
                        </a:solidFill>
                        <a:latin typeface="Arial Nova Light" panose="020B0304020202020204" pitchFamily="34" charset="0"/>
                        <a:ea typeface="+mn-ea"/>
                        <a:cs typeface="+mn-cs"/>
                      </a:defRPr>
                    </a:pPr>
                    <a:fld id="{062B5E0D-BAEA-4FF4-9454-FAAD65B5DF7A}" type="CELLRANGE">
                      <a:rPr lang="en-US" b="0"/>
                      <a:pPr algn="ctr">
                        <a:defRPr lang="en-US" sz="1100" b="0" i="0" u="none" strike="noStrike" kern="1200" baseline="0">
                          <a:solidFill>
                            <a:schemeClr val="dk1"/>
                          </a:solidFill>
                          <a:latin typeface="Arial Nova Light" panose="020B0304020202020204" pitchFamily="34" charset="0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0-A5C8-4267-92F9-D1D721BECC96}"/>
                </c:ext>
              </c:extLst>
            </c:dLbl>
            <c:dLbl>
              <c:idx val="4"/>
              <c:tx>
                <c:rich>
                  <a:bodyPr rot="0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lang="en-US" sz="900" b="0" i="0" u="none" strike="noStrike" kern="1200" baseline="0">
                        <a:solidFill>
                          <a:schemeClr val="dk1"/>
                        </a:solidFill>
                        <a:latin typeface="Arial Nova Light" panose="020B0304020202020204" pitchFamily="34" charset="0"/>
                        <a:ea typeface="+mn-ea"/>
                        <a:cs typeface="+mn-cs"/>
                      </a:defRPr>
                    </a:pPr>
                    <a:fld id="{6D6FB86D-FD7C-4135-AC15-E018D38ECFCE}" type="XVALUE">
                      <a:rPr lang="en-US" sz="900" b="0"/>
                      <a:pPr algn="ctr">
                        <a:defRPr lang="en-US" sz="900" b="0" i="0" u="none" strike="noStrike" kern="1200" baseline="0">
                          <a:solidFill>
                            <a:schemeClr val="dk1"/>
                          </a:solidFill>
                          <a:latin typeface="Arial Nova Light" panose="020B0304020202020204" pitchFamily="34" charset="0"/>
                          <a:ea typeface="+mn-ea"/>
                          <a:cs typeface="+mn-cs"/>
                        </a:defRPr>
                      </a:pPr>
                      <a:t>[X VALUE]</a:t>
                    </a:fld>
                    <a:endParaRPr lang="en-US"/>
                  </a:p>
                </c:rich>
              </c:tx>
              <c:numFmt formatCode="#,##0" sourceLinked="0"/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 xmlns:c15="http://schemas.microsoft.com/office/drawing/2012/chart"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31-A5C8-4267-92F9-D1D721BECC96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chemeClr val="dk1"/>
                    </a:solidFill>
                    <a:latin typeface="Arial Nova Light" panose="020B03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'Chart Data'!$AZ$3:$AZ$7</c:f>
              <c:numCache>
                <c:formatCode>General</c:formatCode>
                <c:ptCount val="5"/>
                <c:pt idx="0">
                  <c:v>0</c:v>
                </c:pt>
                <c:pt idx="1">
                  <c:v>7.5</c:v>
                </c:pt>
                <c:pt idx="2" formatCode="0.00">
                  <c:v>12</c:v>
                </c:pt>
                <c:pt idx="3" formatCode="0.00">
                  <c:v>12</c:v>
                </c:pt>
                <c:pt idx="4" formatCode="0.00">
                  <c:v>12</c:v>
                </c:pt>
              </c:numCache>
              <c:extLst xmlns:c15="http://schemas.microsoft.com/office/drawing/2012/chart"/>
            </c:numRef>
          </c:xVal>
          <c:yVal>
            <c:numRef>
              <c:f>'Chart Data'!$BA$3:$BA$7</c:f>
              <c:numCache>
                <c:formatCode>General</c:formatCode>
                <c:ptCount val="5"/>
                <c:pt idx="0">
                  <c:v>49999999.999999993</c:v>
                </c:pt>
                <c:pt idx="1">
                  <c:v>49999999.999999993</c:v>
                </c:pt>
                <c:pt idx="2">
                  <c:v>49999999.999999993</c:v>
                </c:pt>
                <c:pt idx="3">
                  <c:v>16000000</c:v>
                </c:pt>
                <c:pt idx="4">
                  <c:v>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5="http://schemas.microsoft.com/office/drawing/2012/chart" uri="{02D57815-91ED-43cb-92C2-25804820EDAC}">
              <c15:datalabelsRange>
                <c15:f>'Chart Data'!$AY$3:$AY$6</c15:f>
                <c15:dlblRangeCache>
                  <c:ptCount val="4"/>
                  <c:pt idx="1">
                    <c:v>Earned Value to Date</c:v>
                  </c:pt>
                  <c:pt idx="3">
                    <c:v>Earned Schedule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32-A5C8-4267-92F9-D1D721BECC96}"/>
            </c:ext>
          </c:extLst>
        </c:ser>
        <c:ser>
          <c:idx val="0"/>
          <c:order val="15"/>
          <c:tx>
            <c:v>Planned Value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dPt>
            <c:idx val="12"/>
            <c:bubble3D val="0"/>
            <c:extLst>
              <c:ext xmlns:c16="http://schemas.microsoft.com/office/drawing/2014/chart" uri="{C3380CC4-5D6E-409C-BE32-E72D297353CC}">
                <c16:uniqueId val="{00000034-A5C8-4267-92F9-D1D721BECC96}"/>
              </c:ext>
            </c:extLst>
          </c:dPt>
          <c:dPt>
            <c:idx val="14"/>
            <c:bubble3D val="0"/>
            <c:extLst>
              <c:ext xmlns:c16="http://schemas.microsoft.com/office/drawing/2014/chart" uri="{C3380CC4-5D6E-409C-BE32-E72D297353CC}">
                <c16:uniqueId val="{00000011-A5C8-4267-92F9-D1D721BECC96}"/>
              </c:ext>
            </c:extLst>
          </c:dPt>
          <c:xVal>
            <c:numRef>
              <c:f>'Chart Data'!$E$3:$E$27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  <c:extLst xmlns:c15="http://schemas.microsoft.com/office/drawing/2012/chart"/>
            </c:numRef>
          </c:xVal>
          <c:yVal>
            <c:numRef>
              <c:f>'Chart Data'!$F$3:$F$27</c:f>
              <c:numCache>
                <c:formatCode>_("$"* #,##0_);_("$"* \(#,##0\);_("$"* "-"??_);_(@_)</c:formatCode>
                <c:ptCount val="25"/>
                <c:pt idx="0">
                  <c:v>0</c:v>
                </c:pt>
                <c:pt idx="1">
                  <c:v>347097.34666395112</c:v>
                </c:pt>
                <c:pt idx="2">
                  <c:v>869063.31807220192</c:v>
                </c:pt>
                <c:pt idx="3">
                  <c:v>1650545.6099969603</c:v>
                </c:pt>
                <c:pt idx="4">
                  <c:v>2812886.9401066336</c:v>
                </c:pt>
                <c:pt idx="5">
                  <c:v>4524862.6818683473</c:v>
                </c:pt>
                <c:pt idx="6">
                  <c:v>7010371.6545108147</c:v>
                </c:pt>
                <c:pt idx="7">
                  <c:v>10544593.489371434</c:v>
                </c:pt>
                <c:pt idx="8">
                  <c:v>15424087.634018205</c:v>
                </c:pt>
                <c:pt idx="9">
                  <c:v>21893792.569775846</c:v>
                </c:pt>
                <c:pt idx="10">
                  <c:v>30026715.167758327</c:v>
                </c:pt>
                <c:pt idx="11">
                  <c:v>39592149.822794147</c:v>
                </c:pt>
                <c:pt idx="12">
                  <c:v>49999999.999999993</c:v>
                </c:pt>
                <c:pt idx="13">
                  <c:v>60407850.177205808</c:v>
                </c:pt>
                <c:pt idx="14">
                  <c:v>69973284.832241684</c:v>
                </c:pt>
                <c:pt idx="15">
                  <c:v>78106207.430224136</c:v>
                </c:pt>
                <c:pt idx="16">
                  <c:v>84575912.365981773</c:v>
                </c:pt>
                <c:pt idx="17">
                  <c:v>89455406.510628566</c:v>
                </c:pt>
                <c:pt idx="18">
                  <c:v>92989628.345489189</c:v>
                </c:pt>
                <c:pt idx="19">
                  <c:v>95475137.318131626</c:v>
                </c:pt>
                <c:pt idx="20">
                  <c:v>97187113.05989337</c:v>
                </c:pt>
                <c:pt idx="21">
                  <c:v>98349454.390003026</c:v>
                </c:pt>
                <c:pt idx="22">
                  <c:v>99130936.681927785</c:v>
                </c:pt>
                <c:pt idx="23">
                  <c:v>99652902.653336033</c:v>
                </c:pt>
                <c:pt idx="24">
                  <c:v>100000000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12-A5C8-4267-92F9-D1D721BECC96}"/>
            </c:ext>
          </c:extLst>
        </c:ser>
        <c:ser>
          <c:idx val="3"/>
          <c:order val="16"/>
          <c:tx>
            <c:v>Baseline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712A15C-CB5E-44B3-A597-229F1D39F60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A5C8-4267-92F9-D1D721BECC96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8864F3E2-B573-4556-9247-AD424F5A989F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99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5C8-4267-92F9-D1D721BECC9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4FA2610-AF3B-4B74-AFFA-B63F92CC53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5C8-4267-92F9-D1D721BECC96}"/>
                </c:ext>
              </c:extLst>
            </c:dLbl>
            <c:dLbl>
              <c:idx val="3"/>
              <c:tx>
                <c:rich>
                  <a:bodyPr rot="5400000" vertOverflow="clip" horzOverflow="clip" vert="horz" wrap="square" lIns="38100" tIns="19050" rIns="38100" bIns="19050" anchor="t" anchorCtr="0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9F70FA3C-1064-464D-A5AA-30857DF850D2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5C8-4267-92F9-D1D721BECC96}"/>
                </c:ext>
              </c:extLst>
            </c:dLbl>
            <c:dLbl>
              <c:idx val="4"/>
              <c:tx>
                <c:rich>
                  <a:bodyPr rot="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5C8-4267-92F9-D1D721BECC96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Data'!$AN$3:$AN$7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xVal>
          <c:yVal>
            <c:numRef>
              <c:f>'Chart Data'!$AO$3:$AO$7</c:f>
              <c:numCache>
                <c:formatCode>_("$"* #,##0_);_("$"* \(#,##0\);_("$"* "-"??_);_(@_)</c:formatCode>
                <c:ptCount val="5"/>
                <c:pt idx="0">
                  <c:v>100000000</c:v>
                </c:pt>
                <c:pt idx="1">
                  <c:v>100000000</c:v>
                </c:pt>
                <c:pt idx="2">
                  <c:v>100000000</c:v>
                </c:pt>
                <c:pt idx="3">
                  <c:v>50000000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Data'!$AM$3:$AM$6</c15:f>
                <c15:dlblRangeCache>
                  <c:ptCount val="4"/>
                  <c:pt idx="1">
                    <c:v>Budget At Completion</c:v>
                  </c:pt>
                  <c:pt idx="3">
                    <c:v>Planned Completion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A5C8-4267-92F9-D1D721BECC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809807"/>
        <c:axId val="1052780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Actual Cost</c:v>
                </c:tx>
                <c:spPr>
                  <a:ln w="12700">
                    <a:solidFill>
                      <a:schemeClr val="accent3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'Chart Data'!$L$3:$L$33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1421622.7547118734</c:v>
                      </c:pt>
                      <c:pt idx="2">
                        <c:v>3118418.5797024793</c:v>
                      </c:pt>
                      <c:pt idx="3">
                        <c:v>5134061.7544289101</c:v>
                      </c:pt>
                      <c:pt idx="4">
                        <c:v>7515012.0934158238</c:v>
                      </c:pt>
                      <c:pt idx="5">
                        <c:v>10308826.551028855</c:v>
                      </c:pt>
                      <c:pt idx="6">
                        <c:v>13561618.082506869</c:v>
                      </c:pt>
                      <c:pt idx="7">
                        <c:v>17314562.952971365</c:v>
                      </c:pt>
                      <c:pt idx="8">
                        <c:v>21599479.306924</c:v>
                      </c:pt>
                      <c:pt idx="9">
                        <c:v>26433696.950413063</c:v>
                      </c:pt>
                      <c:pt idx="10">
                        <c:v>31814701.237123687</c:v>
                      </c:pt>
                      <c:pt idx="11">
                        <c:v>37715317.687306345</c:v>
                      </c:pt>
                      <c:pt idx="12">
                        <c:v>44080421.651255101</c:v>
                      </c:pt>
                      <c:pt idx="13">
                        <c:v>50826193.926843315</c:v>
                      </c:pt>
                      <c:pt idx="14">
                        <c:v>57842697.729863882</c:v>
                      </c:pt>
                      <c:pt idx="15">
                        <c:v>64999999.999999985</c:v>
                      </c:pt>
                      <c:pt idx="16">
                        <c:v>72157302.270136088</c:v>
                      </c:pt>
                      <c:pt idx="17">
                        <c:v>79173806.073156655</c:v>
                      </c:pt>
                      <c:pt idx="18">
                        <c:v>85919578.348744884</c:v>
                      </c:pt>
                      <c:pt idx="19">
                        <c:v>92284682.312693626</c:v>
                      </c:pt>
                      <c:pt idx="20">
                        <c:v>98185298.762876287</c:v>
                      </c:pt>
                      <c:pt idx="21">
                        <c:v>103566303.04958689</c:v>
                      </c:pt>
                      <c:pt idx="22">
                        <c:v>108400520.69307597</c:v>
                      </c:pt>
                      <c:pt idx="23">
                        <c:v>112685437.04702863</c:v>
                      </c:pt>
                      <c:pt idx="24">
                        <c:v>116438381.91749313</c:v>
                      </c:pt>
                      <c:pt idx="25">
                        <c:v>119691173.44897111</c:v>
                      </c:pt>
                      <c:pt idx="26" formatCode="General">
                        <c:v>122484987.90658414</c:v>
                      </c:pt>
                      <c:pt idx="27" formatCode="General">
                        <c:v>124865938.24557108</c:v>
                      </c:pt>
                      <c:pt idx="28" formatCode="General">
                        <c:v>126881581.42029749</c:v>
                      </c:pt>
                      <c:pt idx="29" formatCode="General">
                        <c:v>128578377.24528812</c:v>
                      </c:pt>
                      <c:pt idx="30" formatCode="General">
                        <c:v>130000000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19-A5C8-4267-92F9-D1D721BECC96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Earned Value</c:v>
                </c:tx>
                <c:spPr>
                  <a:ln w="12700"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Data'!$K$3:$K$33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1478455.6243997603</c:v>
                      </c:pt>
                      <c:pt idx="2">
                        <c:v>3174155.8634039946</c:v>
                      </c:pt>
                      <c:pt idx="3">
                        <c:v>5109699.1571174189</c:v>
                      </c:pt>
                      <c:pt idx="4">
                        <c:v>7306928.251828202</c:v>
                      </c:pt>
                      <c:pt idx="5">
                        <c:v>9785751.0093946029</c:v>
                      </c:pt>
                      <c:pt idx="6">
                        <c:v>12562701.762166522</c:v>
                      </c:pt>
                      <c:pt idx="7">
                        <c:v>15649287.697149307</c:v>
                      </c:pt>
                      <c:pt idx="8">
                        <c:v>19050213.950931884</c:v>
                      </c:pt>
                      <c:pt idx="9">
                        <c:v>22761636.822139148</c:v>
                      </c:pt>
                      <c:pt idx="10">
                        <c:v>26769647.004476327</c:v>
                      </c:pt>
                      <c:pt idx="11">
                        <c:v>31049219.71925937</c:v>
                      </c:pt>
                      <c:pt idx="12">
                        <c:v>35563869.744324185</c:v>
                      </c:pt>
                      <c:pt idx="13">
                        <c:v>40266203.122053586</c:v>
                      </c:pt>
                      <c:pt idx="14">
                        <c:v>45099459.51346156</c:v>
                      </c:pt>
                      <c:pt idx="15">
                        <c:v>49999999.999999993</c:v>
                      </c:pt>
                      <c:pt idx="16">
                        <c:v>54900540.486538425</c:v>
                      </c:pt>
                      <c:pt idx="17">
                        <c:v>59733796.877946407</c:v>
                      </c:pt>
                      <c:pt idx="18">
                        <c:v>64436130.2556758</c:v>
                      </c:pt>
                      <c:pt idx="19">
                        <c:v>68950780.280740604</c:v>
                      </c:pt>
                      <c:pt idx="20">
                        <c:v>73230352.995523646</c:v>
                      </c:pt>
                      <c:pt idx="21">
                        <c:v>77238363.177860841</c:v>
                      </c:pt>
                      <c:pt idx="22">
                        <c:v>80949786.049068078</c:v>
                      </c:pt>
                      <c:pt idx="23">
                        <c:v>84350712.302850679</c:v>
                      </c:pt>
                      <c:pt idx="24">
                        <c:v>87437298.23783347</c:v>
                      </c:pt>
                      <c:pt idx="25">
                        <c:v>90214248.990605384</c:v>
                      </c:pt>
                      <c:pt idx="26">
                        <c:v>92693071.748171791</c:v>
                      </c:pt>
                      <c:pt idx="27">
                        <c:v>94890300.842882559</c:v>
                      </c:pt>
                      <c:pt idx="28">
                        <c:v>96825844.136595994</c:v>
                      </c:pt>
                      <c:pt idx="29">
                        <c:v>98521544.375600234</c:v>
                      </c:pt>
                      <c:pt idx="30">
                        <c:v>100000000.00000001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A-A5C8-4267-92F9-D1D721BECC96}"/>
                  </c:ext>
                </c:extLst>
              </c15:ser>
            </c15:filteredScatterSeries>
            <c15:filteredScatterSeries>
              <c15:ser>
                <c:idx val="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Data'!$AQ$1</c15:sqref>
                        </c15:formulaRef>
                      </c:ext>
                    </c:extLst>
                    <c:strCache>
                      <c:ptCount val="1"/>
                      <c:pt idx="0">
                        <c:v>Cumulative Actual Cost</c:v>
                      </c:pt>
                    </c:strCache>
                  </c:strRef>
                </c:tx>
                <c:spPr>
                  <a:ln w="19050">
                    <a:solidFill>
                      <a:schemeClr val="accent3"/>
                    </a:solidFill>
                    <a:prstDash val="sysDash"/>
                  </a:ln>
                </c:spPr>
                <c:marker>
                  <c:symbol val="none"/>
                </c:marker>
                <c:dLbls>
                  <c:dLbl>
                    <c:idx val="0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0-A5C8-4267-92F9-D1D721BECC96}"/>
                      </c:ext>
                    </c:extLst>
                  </c:dLbl>
                  <c:dLbl>
                    <c:idx val="1"/>
                    <c:tx>
                      <c:rich>
                        <a:bodyPr wrap="none" lIns="0" tIns="0" rIns="0" bIns="0" anchor="ctr">
                          <a:spAutoFit/>
                        </a:bodyPr>
                        <a:lstStyle/>
                        <a:p>
                          <a:pPr>
                            <a:defRPr sz="1100" b="0">
                              <a:latin typeface="Arial Nova Light" panose="020B0304020202020204" pitchFamily="34" charset="0"/>
                              <a:cs typeface="Arial" panose="020B0604020202020204" pitchFamily="34" charset="0"/>
                            </a:defRPr>
                          </a:pPr>
                          <a:fld id="{C72EE454-2A73-492E-98B1-B0AAE1372753}" type="CELLRANGE">
                            <a:rPr lang="en-US"/>
                            <a:pPr>
                              <a:defRPr sz="1100" b="0">
                                <a:latin typeface="Arial Nova Light" panose="020B0304020202020204" pitchFamily="34" charset="0"/>
                                <a:cs typeface="Arial" panose="020B0604020202020204" pitchFamily="34" charset="0"/>
                              </a:defRPr>
                            </a:pPr>
                            <a:t>[CELLRANGE]</a:t>
                          </a:fld>
                          <a:endParaRPr lang="en-US"/>
                        </a:p>
                      </c:rich>
                    </c:tx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spPr xmlns:c15="http://schemas.microsoft.com/office/drawing/2012/chart">
                          <a:prstGeom prst="rect">
                            <a:avLst/>
                          </a:prstGeom>
                        </c15:spPr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1-A5C8-4267-92F9-D1D721BECC96}"/>
                      </c:ext>
                    </c:extLst>
                  </c:dLbl>
                  <c:dLbl>
                    <c:idx val="2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2-A5C8-4267-92F9-D1D721BECC96}"/>
                      </c:ext>
                    </c:extLst>
                  </c:dLbl>
                  <c:dLbl>
                    <c:idx val="3"/>
                    <c:tx>
                      <c:rich>
                        <a:bodyPr rot="5400000" vert="horz" wrap="none" lIns="0" tIns="0" rIns="0" bIns="0" anchor="ctr">
                          <a:spAutoFit/>
                        </a:bodyPr>
                        <a:lstStyle/>
                        <a:p>
                          <a:pPr>
                            <a:defRPr sz="1100" b="0">
                              <a:latin typeface="Arial Nova Light" panose="020B0304020202020204" pitchFamily="34" charset="0"/>
                            </a:defRPr>
                          </a:pPr>
                          <a:fld id="{99500236-8EAC-42FD-8250-81F840111BD6}" type="CELLRANGE">
                            <a:rPr lang="en-US"/>
                            <a:pPr>
                              <a:defRPr sz="1100" b="0">
                                <a:latin typeface="Arial Nova Light" panose="020B0304020202020204" pitchFamily="34" charset="0"/>
                              </a:defRPr>
                            </a:pPr>
                            <a:t>[CELLRANGE]</a:t>
                          </a:fld>
                          <a:endParaRPr lang="en-US"/>
                        </a:p>
                      </c:rich>
                    </c:tx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spPr xmlns:c15="http://schemas.microsoft.com/office/drawing/2012/chart">
                          <a:prstGeom prst="rect">
                            <a:avLst/>
                          </a:prstGeom>
                        </c15:spPr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03-A5C8-4267-92F9-D1D721BECC96}"/>
                      </c:ext>
                    </c:extLst>
                  </c:dLbl>
                  <c:dLbl>
                    <c:idx val="4"/>
                    <c:delete val="1"/>
                    <c:extLst xmlns:c15="http://schemas.microsoft.com/office/drawing/2012/chart">
                      <c:ext xmlns:c15="http://schemas.microsoft.com/office/drawing/2012/chart" uri="{CE6537A1-D6FC-4f65-9D91-7224C49458BB}"/>
                      <c:ext xmlns:c16="http://schemas.microsoft.com/office/drawing/2014/chart" uri="{C3380CC4-5D6E-409C-BE32-E72D297353CC}">
                        <c16:uniqueId val="{00000004-A5C8-4267-92F9-D1D721BECC96}"/>
                      </c:ext>
                    </c:extLst>
                  </c:dLbl>
                  <c:spPr>
                    <a:solidFill>
                      <a:schemeClr val="bg1">
                        <a:alpha val="7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wrap="none" lIns="0" tIns="0" rIns="0" bIns="0" anchor="ctr">
                      <a:spAutoFit/>
                    </a:bodyPr>
                    <a:lstStyle/>
                    <a:p>
                      <a:pPr>
                        <a:defRPr sz="1100" b="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Data'!$AR$3:$AR$7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7.5</c:v>
                      </c:pt>
                      <c:pt idx="2">
                        <c:v>15</c:v>
                      </c:pt>
                      <c:pt idx="3">
                        <c:v>15</c:v>
                      </c:pt>
                      <c:pt idx="4">
                        <c:v>15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Data'!$AS$3:$AS$7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64999999.999999985</c:v>
                      </c:pt>
                      <c:pt idx="1">
                        <c:v>64999999.999999985</c:v>
                      </c:pt>
                      <c:pt idx="2">
                        <c:v>64999999.999999985</c:v>
                      </c:pt>
                      <c:pt idx="3">
                        <c:v>16000000</c:v>
                      </c:pt>
                      <c:pt idx="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Data'!$AQ$3:$AQ$7</c15:f>
                      <c15:dlblRangeCache>
                        <c:ptCount val="5"/>
                        <c:pt idx="1">
                          <c:v>Actual Cost to Date</c:v>
                        </c:pt>
                        <c:pt idx="3">
                          <c:v>Status Date</c:v>
                        </c:pt>
                        <c:pt idx="4">
                          <c:v>15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05-A5C8-4267-92F9-D1D721BECC96}"/>
                  </c:ext>
                </c:extLst>
              </c15:ser>
            </c15:filteredScatterSeries>
            <c15:filteredScatterSeries>
              <c15:ser>
                <c:idx val="7"/>
                <c:order val="6"/>
                <c:tx>
                  <c:v>Final Actuals</c:v>
                </c:tx>
                <c:spPr>
                  <a:ln w="19050">
                    <a:solidFill>
                      <a:srgbClr val="00B050"/>
                    </a:solidFill>
                    <a:prstDash val="lgDash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738899B9-6C8B-46EB-98A5-7A234A5511CC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C-A5C8-4267-92F9-D1D721BECC96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4831FAF0-E179-4F1E-B3D0-3A41C5834181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D-A5C8-4267-92F9-D1D721BECC96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1F8B9E25-92A3-4662-8FCA-31CBED01B558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E-A5C8-4267-92F9-D1D721BECC96}"/>
                      </c:ext>
                    </c:extLst>
                  </c:dLbl>
                  <c:dLbl>
                    <c:idx val="3"/>
                    <c:tx>
                      <c:rich>
                        <a:bodyPr rot="5400000" vert="horz" wrap="square" lIns="38100" tIns="19050" rIns="38100" bIns="19050" anchor="ctr">
                          <a:spAutoFit/>
                        </a:bodyPr>
                        <a:lstStyle/>
                        <a:p>
                          <a:pPr>
                            <a:defRPr sz="1100">
                              <a:latin typeface="Arial Nova Light" panose="020B0304020202020204" pitchFamily="34" charset="0"/>
                            </a:defRPr>
                          </a:pPr>
                          <a:fld id="{41E242B0-AE00-40C9-B99D-53152BA887A8}" type="CELLRANGE">
                            <a:rPr lang="en-US"/>
                            <a:pPr>
                              <a:defRPr sz="1100">
                                <a:latin typeface="Arial Nova Light" panose="020B0304020202020204" pitchFamily="34" charset="0"/>
                              </a:defRPr>
                            </a:pPr>
                            <a:t>[CELLRANGE]</a:t>
                          </a:fld>
                          <a:endParaRPr lang="en-US"/>
                        </a:p>
                      </c:rich>
                    </c:tx>
                    <c:spPr>
                      <a:solidFill>
                        <a:schemeClr val="bg1">
                          <a:alpha val="70000"/>
                        </a:schemeClr>
                      </a:solidFill>
                      <a:ln>
                        <a:noFill/>
                      </a:ln>
                      <a:effectLst/>
                    </c:spPr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F-A5C8-4267-92F9-D1D721BECC96}"/>
                      </c:ext>
                    </c:extLst>
                  </c:dLbl>
                  <c:dLbl>
                    <c:idx val="4"/>
                    <c:tx>
                      <c:rich>
                        <a:bodyPr/>
                        <a:lstStyle/>
                        <a:p>
                          <a:fld id="{18452690-31F9-4681-ACA1-08CDB90B9712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0-A5C8-4267-92F9-D1D721BECC96}"/>
                      </c:ext>
                    </c:extLst>
                  </c:dLbl>
                  <c:spPr>
                    <a:solidFill>
                      <a:schemeClr val="bg1">
                        <a:alpha val="7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wrap="square" lIns="38100" tIns="19050" rIns="38100" bIns="19050" anchor="ctr">
                      <a:spAutoFit/>
                    </a:bodyPr>
                    <a:lstStyle/>
                    <a:p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Data'!$BD$3:$BD$7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0</c:v>
                      </c:pt>
                      <c:pt idx="1">
                        <c:v>15</c:v>
                      </c:pt>
                      <c:pt idx="2">
                        <c:v>30</c:v>
                      </c:pt>
                      <c:pt idx="3">
                        <c:v>30</c:v>
                      </c:pt>
                      <c:pt idx="4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Data'!$BE$3:$BE$7</c15:sqref>
                        </c15:formulaRef>
                      </c:ext>
                    </c:extLst>
                    <c:numCache>
                      <c:formatCode>General</c:formatCode>
                      <c:ptCount val="5"/>
                      <c:pt idx="0">
                        <c:v>130000000</c:v>
                      </c:pt>
                      <c:pt idx="1">
                        <c:v>130000000</c:v>
                      </c:pt>
                      <c:pt idx="2">
                        <c:v>130000000</c:v>
                      </c:pt>
                      <c:pt idx="3">
                        <c:v>65000000</c:v>
                      </c:pt>
                      <c:pt idx="4">
                        <c:v>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Data'!$BC$3:$BC$7</c15:f>
                      <c15:dlblRangeCache>
                        <c:ptCount val="5"/>
                        <c:pt idx="1">
                          <c:v>Final Cost</c:v>
                        </c:pt>
                        <c:pt idx="3">
                          <c:v>Final Duration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1-A5C8-4267-92F9-D1D721BECC96}"/>
                  </c:ext>
                </c:extLst>
              </c15:ser>
            </c15:filteredScatterSeries>
            <c15:filteredScatterSeries>
              <c15:ser>
                <c:idx val="8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Data'!$AU$1</c15:sqref>
                        </c15:formulaRef>
                      </c:ext>
                    </c:extLst>
                    <c:strCache>
                      <c:ptCount val="1"/>
                      <c:pt idx="0">
                        <c:v>Cost Variance</c:v>
                      </c:pt>
                    </c:strCache>
                  </c:strRef>
                </c:tx>
                <c:spPr>
                  <a:ln w="12700">
                    <a:solidFill>
                      <a:schemeClr val="tx1"/>
                    </a:solidFill>
                    <a:prstDash val="sysDot"/>
                    <a:headEnd type="arrow"/>
                    <a:tailEnd type="arrow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053D5543-85F5-4C7F-B0A7-F21A15EB4641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2-A5C8-4267-92F9-D1D721BECC96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8E4BC9A1-DFDC-4B85-95CD-89A834770357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3-A5C8-4267-92F9-D1D721BECC96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60D37378-A341-43BA-B2BC-ED9E1F105B1C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4-A5C8-4267-92F9-D1D721BECC96}"/>
                      </c:ext>
                    </c:extLst>
                  </c:dLbl>
                  <c:spPr>
                    <a:solidFill>
                      <a:schemeClr val="bg1">
                        <a:alpha val="75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vertOverflow="clip" horzOverflow="clip" wrap="none" lIns="0" tIns="0" rIns="0" bIns="0" anchor="ctr">
                      <a:spAutoFit/>
                    </a:bodyPr>
                    <a:lstStyle/>
                    <a:p>
                      <a:pPr>
                        <a:defRPr sz="8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Data'!$AV$3:$AV$5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1.5</c:v>
                      </c:pt>
                      <c:pt idx="1">
                        <c:v>1.5</c:v>
                      </c:pt>
                      <c:pt idx="2">
                        <c:v>1.5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Data'!$AW$3:$AW$5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64999999.999999985</c:v>
                      </c:pt>
                      <c:pt idx="1">
                        <c:v>57499999.999999985</c:v>
                      </c:pt>
                      <c:pt idx="2">
                        <c:v>49999999.999999993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Data'!$AU$3:$AU$5</c15:f>
                      <c15:dlblRangeCache>
                        <c:ptCount val="3"/>
                        <c:pt idx="1">
                          <c:v>CV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5-A5C8-4267-92F9-D1D721BECC96}"/>
                  </c:ext>
                </c:extLst>
              </c15:ser>
            </c15:filteredScatterSeries>
            <c15:filteredScatterSeries>
              <c15:ser>
                <c:idx val="9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Data'!$AU$7</c15:sqref>
                        </c15:formulaRef>
                      </c:ext>
                    </c:extLst>
                    <c:strCache>
                      <c:ptCount val="1"/>
                      <c:pt idx="0">
                        <c:v>Schedule Variance</c:v>
                      </c:pt>
                    </c:strCache>
                  </c:strRef>
                </c:tx>
                <c:spPr>
                  <a:ln w="12700">
                    <a:solidFill>
                      <a:schemeClr val="tx1"/>
                    </a:solidFill>
                    <a:prstDash val="sysDot"/>
                    <a:headEnd type="arrow"/>
                    <a:tailEnd type="arrow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F5575450-CCE9-4E6A-BD1F-BBF7689F78EA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6-A5C8-4267-92F9-D1D721BECC96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0CE4B989-559A-4246-8890-FDBCA8016343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7-A5C8-4267-92F9-D1D721BECC96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4B2C0E02-B7F2-4DB3-8F4A-5FFFE2B7C6C0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8-A5C8-4267-92F9-D1D721BECC96}"/>
                      </c:ext>
                    </c:extLst>
                  </c:dLbl>
                  <c:spPr>
                    <a:solidFill>
                      <a:schemeClr val="bg1">
                        <a:alpha val="75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vertOverflow="clip" horzOverflow="clip" wrap="none" lIns="0" tIns="0" rIns="0" bIns="0" anchor="ctr">
                      <a:spAutoFit/>
                    </a:bodyPr>
                    <a:lstStyle/>
                    <a:p>
                      <a:pPr>
                        <a:defRPr sz="8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Data'!$AV$9:$AV$11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Data'!$AW$9:$AW$11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78106207.430224136</c:v>
                      </c:pt>
                      <c:pt idx="1">
                        <c:v>64053103.71511206</c:v>
                      </c:pt>
                      <c:pt idx="2">
                        <c:v>49999999.999999993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Data'!$AU$9:$AU$11</c15:f>
                      <c15:dlblRangeCache>
                        <c:ptCount val="3"/>
                        <c:pt idx="1">
                          <c:v>SV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9-A5C8-4267-92F9-D1D721BECC96}"/>
                  </c:ext>
                </c:extLst>
              </c15:ser>
            </c15:filteredScatterSeries>
            <c15:filteredScatterSeries>
              <c15:ser>
                <c:idx val="11"/>
                <c:order val="9"/>
                <c:tx>
                  <c:v>Actual Cost to Date</c:v>
                </c:tx>
                <c:spPr>
                  <a:ln w="12700">
                    <a:solidFill>
                      <a:schemeClr val="accent3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Data'!$S$3:$S$33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Data'!$V$3:$V$33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1421622.7547118734</c:v>
                      </c:pt>
                      <c:pt idx="2">
                        <c:v>3118418.5797024793</c:v>
                      </c:pt>
                      <c:pt idx="3">
                        <c:v>5134061.7544289101</c:v>
                      </c:pt>
                      <c:pt idx="4">
                        <c:v>7515012.0934158238</c:v>
                      </c:pt>
                      <c:pt idx="5">
                        <c:v>10308826.551028855</c:v>
                      </c:pt>
                      <c:pt idx="6">
                        <c:v>13561618.082506869</c:v>
                      </c:pt>
                      <c:pt idx="7">
                        <c:v>17314562.952971365</c:v>
                      </c:pt>
                      <c:pt idx="8">
                        <c:v>21599479.306924</c:v>
                      </c:pt>
                      <c:pt idx="9">
                        <c:v>26433696.950413063</c:v>
                      </c:pt>
                      <c:pt idx="10">
                        <c:v>31814701.237123687</c:v>
                      </c:pt>
                      <c:pt idx="11">
                        <c:v>37715317.687306345</c:v>
                      </c:pt>
                      <c:pt idx="12">
                        <c:v>44080421.651255101</c:v>
                      </c:pt>
                      <c:pt idx="13">
                        <c:v>50826193.926843315</c:v>
                      </c:pt>
                      <c:pt idx="14">
                        <c:v>57842697.729863882</c:v>
                      </c:pt>
                      <c:pt idx="15">
                        <c:v>64999999.999999985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5C8-4267-92F9-D1D721BECC96}"/>
                  </c:ext>
                </c:extLst>
              </c15:ser>
            </c15:filteredScatterSeries>
            <c15:filteredScatterSeries>
              <c15:ser>
                <c:idx val="13"/>
                <c:order val="11"/>
                <c:tx>
                  <c:v>Planned Value to Date</c:v>
                </c:tx>
                <c:spPr>
                  <a:ln w="12700">
                    <a:solidFill>
                      <a:srgbClr val="C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Data'!$S$3:$S$33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Data'!$T$3:$T$33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347097.34666395112</c:v>
                      </c:pt>
                      <c:pt idx="2">
                        <c:v>869063.31807220192</c:v>
                      </c:pt>
                      <c:pt idx="3">
                        <c:v>1650545.6099969603</c:v>
                      </c:pt>
                      <c:pt idx="4">
                        <c:v>2812886.9401066336</c:v>
                      </c:pt>
                      <c:pt idx="5">
                        <c:v>4524862.6818683473</c:v>
                      </c:pt>
                      <c:pt idx="6">
                        <c:v>7010371.6545108147</c:v>
                      </c:pt>
                      <c:pt idx="7">
                        <c:v>10544593.489371434</c:v>
                      </c:pt>
                      <c:pt idx="8">
                        <c:v>15424087.634018205</c:v>
                      </c:pt>
                      <c:pt idx="9">
                        <c:v>21893792.569775846</c:v>
                      </c:pt>
                      <c:pt idx="10">
                        <c:v>30026715.167758327</c:v>
                      </c:pt>
                      <c:pt idx="11">
                        <c:v>39592149.822794147</c:v>
                      </c:pt>
                      <c:pt idx="12">
                        <c:v>49999999.999999993</c:v>
                      </c:pt>
                      <c:pt idx="13">
                        <c:v>60407850.177205808</c:v>
                      </c:pt>
                      <c:pt idx="14">
                        <c:v>69973284.832241684</c:v>
                      </c:pt>
                      <c:pt idx="15">
                        <c:v>78106207.430224136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A-A5C8-4267-92F9-D1D721BECC96}"/>
                  </c:ext>
                </c:extLst>
              </c15:ser>
            </c15:filteredScatterSeries>
            <c15:filteredScatterSeries>
              <c15:ser>
                <c:idx val="14"/>
                <c:order val="12"/>
                <c:tx>
                  <c:v>Future Actual Costs (Unknown)</c:v>
                </c:tx>
                <c:spPr>
                  <a:ln w="12700" cmpd="tri">
                    <a:solidFill>
                      <a:schemeClr val="accent3">
                        <a:lumMod val="50000"/>
                      </a:schemeClr>
                    </a:solidFill>
                    <a:prstDash val="sysDot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Data'!$W$3:$W$33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Data'!$Z$3:$Z$33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64999999.999999985</c:v>
                      </c:pt>
                      <c:pt idx="16">
                        <c:v>72157302.270136088</c:v>
                      </c:pt>
                      <c:pt idx="17">
                        <c:v>79173806.073156655</c:v>
                      </c:pt>
                      <c:pt idx="18">
                        <c:v>85919578.348744884</c:v>
                      </c:pt>
                      <c:pt idx="19">
                        <c:v>92284682.312693626</c:v>
                      </c:pt>
                      <c:pt idx="20">
                        <c:v>98185298.762876287</c:v>
                      </c:pt>
                      <c:pt idx="21">
                        <c:v>103566303.04958689</c:v>
                      </c:pt>
                      <c:pt idx="22">
                        <c:v>108400520.69307597</c:v>
                      </c:pt>
                      <c:pt idx="23">
                        <c:v>112685437.04702863</c:v>
                      </c:pt>
                      <c:pt idx="24">
                        <c:v>116438381.91749313</c:v>
                      </c:pt>
                      <c:pt idx="25">
                        <c:v>119691173.44897111</c:v>
                      </c:pt>
                      <c:pt idx="26">
                        <c:v>122484987.90658414</c:v>
                      </c:pt>
                      <c:pt idx="27">
                        <c:v>124865938.24557108</c:v>
                      </c:pt>
                      <c:pt idx="28">
                        <c:v>126881581.42029749</c:v>
                      </c:pt>
                      <c:pt idx="29">
                        <c:v>128578377.24528812</c:v>
                      </c:pt>
                      <c:pt idx="30">
                        <c:v>130000000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A5C8-4267-92F9-D1D721BECC96}"/>
                  </c:ext>
                </c:extLst>
              </c15:ser>
            </c15:filteredScatterSeries>
            <c15:filteredScatterSeries>
              <c15:ser>
                <c:idx val="15"/>
                <c:order val="13"/>
                <c:tx>
                  <c:v>Future Earned Value (Unknown)</c:v>
                </c:tx>
                <c:spPr>
                  <a:ln w="12700">
                    <a:solidFill>
                      <a:schemeClr val="tx2"/>
                    </a:solidFill>
                    <a:prstDash val="sysDot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Data'!$W$3:$W$33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Data'!$Y$3:$Y$33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#N/A</c:v>
                      </c:pt>
                      <c:pt idx="1">
                        <c:v>#N/A</c:v>
                      </c:pt>
                      <c:pt idx="2">
                        <c:v>#N/A</c:v>
                      </c:pt>
                      <c:pt idx="3">
                        <c:v>#N/A</c:v>
                      </c:pt>
                      <c:pt idx="4">
                        <c:v>#N/A</c:v>
                      </c:pt>
                      <c:pt idx="5">
                        <c:v>#N/A</c:v>
                      </c:pt>
                      <c:pt idx="6">
                        <c:v>#N/A</c:v>
                      </c:pt>
                      <c:pt idx="7">
                        <c:v>#N/A</c:v>
                      </c:pt>
                      <c:pt idx="8">
                        <c:v>#N/A</c:v>
                      </c:pt>
                      <c:pt idx="9">
                        <c:v>#N/A</c:v>
                      </c:pt>
                      <c:pt idx="10">
                        <c:v>#N/A</c:v>
                      </c:pt>
                      <c:pt idx="11">
                        <c:v>#N/A</c:v>
                      </c:pt>
                      <c:pt idx="12">
                        <c:v>#N/A</c:v>
                      </c:pt>
                      <c:pt idx="13">
                        <c:v>#N/A</c:v>
                      </c:pt>
                      <c:pt idx="14">
                        <c:v>#N/A</c:v>
                      </c:pt>
                      <c:pt idx="15">
                        <c:v>49999999.999999993</c:v>
                      </c:pt>
                      <c:pt idx="16">
                        <c:v>54900540.486538425</c:v>
                      </c:pt>
                      <c:pt idx="17">
                        <c:v>59733796.877946407</c:v>
                      </c:pt>
                      <c:pt idx="18">
                        <c:v>64436130.2556758</c:v>
                      </c:pt>
                      <c:pt idx="19">
                        <c:v>68950780.280740604</c:v>
                      </c:pt>
                      <c:pt idx="20">
                        <c:v>73230352.995523646</c:v>
                      </c:pt>
                      <c:pt idx="21">
                        <c:v>77238363.177860841</c:v>
                      </c:pt>
                      <c:pt idx="22">
                        <c:v>80949786.049068078</c:v>
                      </c:pt>
                      <c:pt idx="23">
                        <c:v>84350712.302850679</c:v>
                      </c:pt>
                      <c:pt idx="24">
                        <c:v>87437298.23783347</c:v>
                      </c:pt>
                      <c:pt idx="25">
                        <c:v>90214248.990605384</c:v>
                      </c:pt>
                      <c:pt idx="26">
                        <c:v>92693071.748171791</c:v>
                      </c:pt>
                      <c:pt idx="27">
                        <c:v>94890300.842882559</c:v>
                      </c:pt>
                      <c:pt idx="28">
                        <c:v>96825844.136595994</c:v>
                      </c:pt>
                      <c:pt idx="29">
                        <c:v>98521544.375600234</c:v>
                      </c:pt>
                      <c:pt idx="30">
                        <c:v>100000000.00000001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A5C8-4267-92F9-D1D721BECC96}"/>
                  </c:ext>
                </c:extLst>
              </c15:ser>
            </c15:filteredScatterSeries>
          </c:ext>
        </c:extLst>
      </c:scatterChart>
      <c:valAx>
        <c:axId val="1052809807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80527"/>
        <c:crosses val="autoZero"/>
        <c:crossBetween val="midCat"/>
      </c:valAx>
      <c:valAx>
        <c:axId val="1052780527"/>
        <c:scaling>
          <c:orientation val="minMax"/>
          <c:max val="12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809807"/>
        <c:crosses val="autoZero"/>
        <c:crossBetween val="midCat"/>
      </c:valAx>
      <c:spPr>
        <a:solidFill>
          <a:schemeClr val="bg1"/>
        </a:solidFill>
        <a:ln w="12700">
          <a:solidFill>
            <a:schemeClr val="tx2"/>
          </a:solidFill>
        </a:ln>
      </c:spPr>
    </c:plotArea>
    <c:legend>
      <c:legendPos val="b"/>
      <c:legendEntry>
        <c:idx val="2"/>
        <c:txPr>
          <a:bodyPr/>
          <a:lstStyle/>
          <a:p>
            <a:pPr>
              <a:defRPr b="1"/>
            </a:pPr>
            <a:endParaRPr lang="en-US"/>
          </a:p>
        </c:txPr>
      </c:legendEntry>
      <c:layout>
        <c:manualLayout>
          <c:xMode val="edge"/>
          <c:yMode val="edge"/>
          <c:x val="0.20967575206945285"/>
          <c:y val="0.88114418171173214"/>
          <c:w val="0.68668431830636556"/>
          <c:h val="7.0138243341737058E-2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EVM Concepts -</a:t>
            </a:r>
            <a:r>
              <a:rPr lang="en-US" baseline="0"/>
              <a:t> Future Earned Value and Actual Costs Unknown</a:t>
            </a:r>
            <a:endParaRPr lang="en-US"/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159719099511103"/>
          <c:y val="6.7201727724733831E-2"/>
          <c:w val="0.81820575992006728"/>
          <c:h val="0.76956862351179955"/>
        </c:manualLayout>
      </c:layout>
      <c:scatterChart>
        <c:scatterStyle val="lineMarker"/>
        <c:varyColors val="0"/>
        <c:ser>
          <c:idx val="0"/>
          <c:order val="2"/>
          <c:tx>
            <c:v>Planned Value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'Chart Data'!$E$3:$E$27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  <c:extLst xmlns:c15="http://schemas.microsoft.com/office/drawing/2012/chart"/>
            </c:numRef>
          </c:xVal>
          <c:yVal>
            <c:numRef>
              <c:f>'Chart Data'!$F$3:$F$27</c:f>
              <c:numCache>
                <c:formatCode>_("$"* #,##0_);_("$"* \(#,##0\);_("$"* "-"??_);_(@_)</c:formatCode>
                <c:ptCount val="25"/>
                <c:pt idx="0">
                  <c:v>0</c:v>
                </c:pt>
                <c:pt idx="1">
                  <c:v>347097.34666395112</c:v>
                </c:pt>
                <c:pt idx="2">
                  <c:v>869063.31807220192</c:v>
                </c:pt>
                <c:pt idx="3">
                  <c:v>1650545.6099969603</c:v>
                </c:pt>
                <c:pt idx="4">
                  <c:v>2812886.9401066336</c:v>
                </c:pt>
                <c:pt idx="5">
                  <c:v>4524862.6818683473</c:v>
                </c:pt>
                <c:pt idx="6">
                  <c:v>7010371.6545108147</c:v>
                </c:pt>
                <c:pt idx="7">
                  <c:v>10544593.489371434</c:v>
                </c:pt>
                <c:pt idx="8">
                  <c:v>15424087.634018205</c:v>
                </c:pt>
                <c:pt idx="9">
                  <c:v>21893792.569775846</c:v>
                </c:pt>
                <c:pt idx="10">
                  <c:v>30026715.167758327</c:v>
                </c:pt>
                <c:pt idx="11">
                  <c:v>39592149.822794147</c:v>
                </c:pt>
                <c:pt idx="12">
                  <c:v>49999999.999999993</c:v>
                </c:pt>
                <c:pt idx="13">
                  <c:v>60407850.177205808</c:v>
                </c:pt>
                <c:pt idx="14">
                  <c:v>69973284.832241684</c:v>
                </c:pt>
                <c:pt idx="15">
                  <c:v>78106207.430224136</c:v>
                </c:pt>
                <c:pt idx="16">
                  <c:v>84575912.365981773</c:v>
                </c:pt>
                <c:pt idx="17">
                  <c:v>89455406.510628566</c:v>
                </c:pt>
                <c:pt idx="18">
                  <c:v>92989628.345489189</c:v>
                </c:pt>
                <c:pt idx="19">
                  <c:v>95475137.318131626</c:v>
                </c:pt>
                <c:pt idx="20">
                  <c:v>97187113.05989337</c:v>
                </c:pt>
                <c:pt idx="21">
                  <c:v>98349454.390003026</c:v>
                </c:pt>
                <c:pt idx="22">
                  <c:v>99130936.681927785</c:v>
                </c:pt>
                <c:pt idx="23">
                  <c:v>99652902.653336033</c:v>
                </c:pt>
                <c:pt idx="24">
                  <c:v>100000000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4EC-4FDD-91C2-61617BCB0471}"/>
            </c:ext>
          </c:extLst>
        </c:ser>
        <c:ser>
          <c:idx val="4"/>
          <c:order val="3"/>
          <c:tx>
            <c:v>Actual Now</c:v>
          </c:tx>
          <c:spPr>
            <a:ln w="19050">
              <a:solidFill>
                <a:schemeClr val="accent3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4EC-4FDD-91C2-61617BCB0471}"/>
                </c:ext>
              </c:extLst>
            </c:dLbl>
            <c:dLbl>
              <c:idx val="1"/>
              <c:tx>
                <c:rich>
                  <a:bodyPr wrap="none" lIns="0" tIns="0" rIns="0" bIns="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  <a:cs typeface="Arial" panose="020B0604020202020204" pitchFamily="34" charset="0"/>
                      </a:defRPr>
                    </a:pPr>
                    <a:fld id="{62CCD380-CF28-4271-B8F1-25AB8112B864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  <a:cs typeface="Arial" panose="020B06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4EC-4FDD-91C2-61617BCB0471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4EC-4FDD-91C2-61617BCB0471}"/>
                </c:ext>
              </c:extLst>
            </c:dLbl>
            <c:dLbl>
              <c:idx val="3"/>
              <c:tx>
                <c:rich>
                  <a:bodyPr rot="5400000" vert="horz" wrap="none" lIns="0" tIns="0" rIns="0" bIns="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69C9119C-B4CE-4DAC-98D2-48F0D54C16B3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4EC-4FDD-91C2-61617BCB0471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EC-4FDD-91C2-61617BCB0471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none" lIns="0" tIns="0" rIns="0" bIns="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'Chart Data'!$AR$3:$AR$7</c:f>
              <c:numCache>
                <c:formatCode>General</c:formatCode>
                <c:ptCount val="5"/>
                <c:pt idx="0">
                  <c:v>0</c:v>
                </c:pt>
                <c:pt idx="1">
                  <c:v>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</c:numCache>
            </c:numRef>
          </c:xVal>
          <c:yVal>
            <c:numRef>
              <c:f>'Chart Data'!$AS$3:$AS$7</c:f>
              <c:numCache>
                <c:formatCode>General</c:formatCode>
                <c:ptCount val="5"/>
                <c:pt idx="0">
                  <c:v>64999999.999999985</c:v>
                </c:pt>
                <c:pt idx="1">
                  <c:v>64999999.999999985</c:v>
                </c:pt>
                <c:pt idx="2">
                  <c:v>64999999.999999985</c:v>
                </c:pt>
                <c:pt idx="3">
                  <c:v>16000000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Data'!$AQ$3:$AQ$7</c15:f>
                <c15:dlblRangeCache>
                  <c:ptCount val="5"/>
                  <c:pt idx="1">
                    <c:v>Actual Cost to Date</c:v>
                  </c:pt>
                  <c:pt idx="3">
                    <c:v>Status Date</c:v>
                  </c:pt>
                  <c:pt idx="4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84EC-4FDD-91C2-61617BCB0471}"/>
            </c:ext>
          </c:extLst>
        </c:ser>
        <c:ser>
          <c:idx val="5"/>
          <c:order val="4"/>
          <c:tx>
            <c:v>Earned Schedule</c:v>
          </c:tx>
          <c:spPr>
            <a:ln w="19050">
              <a:solidFill>
                <a:schemeClr val="accent1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F697521-0E72-4BBC-AC07-9F1488FC1F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84EC-4FDD-91C2-61617BCB047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0A3BCB26-C6D4-4200-ADA9-C54D9C9EFF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84EC-4FDD-91C2-61617BCB047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8FC3CD3-32F1-4FB5-855E-558279CC38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84EC-4FDD-91C2-61617BCB0471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4EC-4FDD-91C2-61617BCB0471}"/>
                </c:ext>
              </c:extLst>
            </c:dLbl>
            <c:dLbl>
              <c:idx val="4"/>
              <c:numFmt formatCode="#,##0" sourceLinked="0"/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>
                      <a:latin typeface="Arial Nova Light" panose="020B0304020202020204" pitchFamily="34" charset="0"/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4EC-4FDD-91C2-61617BCB0471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Data'!$AZ$3:$AZ$7</c:f>
              <c:numCache>
                <c:formatCode>General</c:formatCode>
                <c:ptCount val="5"/>
                <c:pt idx="0">
                  <c:v>0</c:v>
                </c:pt>
                <c:pt idx="1">
                  <c:v>7.5</c:v>
                </c:pt>
                <c:pt idx="2" formatCode="0.00">
                  <c:v>12</c:v>
                </c:pt>
                <c:pt idx="3" formatCode="0.00">
                  <c:v>12</c:v>
                </c:pt>
                <c:pt idx="4" formatCode="0.00">
                  <c:v>12</c:v>
                </c:pt>
              </c:numCache>
            </c:numRef>
          </c:xVal>
          <c:yVal>
            <c:numRef>
              <c:f>'Chart Data'!$BA$3:$BA$7</c:f>
              <c:numCache>
                <c:formatCode>General</c:formatCode>
                <c:ptCount val="5"/>
                <c:pt idx="0">
                  <c:v>49999999.999999993</c:v>
                </c:pt>
                <c:pt idx="1">
                  <c:v>49999999.999999993</c:v>
                </c:pt>
                <c:pt idx="2">
                  <c:v>49999999.999999993</c:v>
                </c:pt>
                <c:pt idx="3">
                  <c:v>16000000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Data'!$AY$3:$AY$6</c15:f>
                <c15:dlblRangeCache>
                  <c:ptCount val="4"/>
                  <c:pt idx="1">
                    <c:v>Earned Value to Date</c:v>
                  </c:pt>
                  <c:pt idx="3">
                    <c:v>Earned Schedule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84EC-4FDD-91C2-61617BCB0471}"/>
            </c:ext>
          </c:extLst>
        </c:ser>
        <c:ser>
          <c:idx val="10"/>
          <c:order val="5"/>
          <c:tx>
            <c:strRef>
              <c:f>'Chart Data'!$AQ$17</c:f>
              <c:strCache>
                <c:ptCount val="1"/>
                <c:pt idx="0">
                  <c:v>Cumulative Planned Value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689FF6EC-B811-487F-9B41-0D9C5DC040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84EC-4FDD-91C2-61617BCB0471}"/>
                </c:ext>
              </c:extLst>
            </c:dLbl>
            <c:dLbl>
              <c:idx val="1"/>
              <c:tx>
                <c:rich>
                  <a:bodyPr vertOverflow="overflow" horzOverflow="overflow" wrap="none" lIns="0" tIns="0" rIns="0" bIns="0" anchor="ctr">
                    <a:no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0D788D48-00DA-4A5F-A094-9BC87360CF8D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11990337277702"/>
                      <c:h val="3.830762325819813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84EC-4FDD-91C2-61617BCB047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6B929F9-1508-4561-95F1-7741842B51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4EC-4FDD-91C2-61617BCB047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Data'!$AR$19:$AR$21</c:f>
              <c:numCache>
                <c:formatCode>General</c:formatCode>
                <c:ptCount val="3"/>
                <c:pt idx="0">
                  <c:v>0</c:v>
                </c:pt>
                <c:pt idx="1">
                  <c:v>7.5</c:v>
                </c:pt>
                <c:pt idx="2" formatCode="0.00">
                  <c:v>15</c:v>
                </c:pt>
              </c:numCache>
            </c:numRef>
          </c:xVal>
          <c:yVal>
            <c:numRef>
              <c:f>'Chart Data'!$AS$19:$AS$21</c:f>
              <c:numCache>
                <c:formatCode>General</c:formatCode>
                <c:ptCount val="3"/>
                <c:pt idx="0">
                  <c:v>78106207.430224136</c:v>
                </c:pt>
                <c:pt idx="1">
                  <c:v>78106207.430224136</c:v>
                </c:pt>
                <c:pt idx="2">
                  <c:v>78106207.430224136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Data'!$AQ$19:$AQ$21</c15:f>
                <c15:dlblRangeCache>
                  <c:ptCount val="3"/>
                  <c:pt idx="1">
                    <c:v>Planned Value to Date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84EC-4FDD-91C2-61617BCB0471}"/>
            </c:ext>
          </c:extLst>
        </c:ser>
        <c:ser>
          <c:idx val="3"/>
          <c:order val="7"/>
          <c:tx>
            <c:v>Baseline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78351139-1E42-41D2-B86D-480F0E9392D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84EC-4FDD-91C2-61617BCB0471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8B0F2082-71D3-4031-B4CC-1C5633287F3E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99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4EC-4FDD-91C2-61617BCB047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45060C6-50A3-4A5D-A228-E9C0F11C19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4EC-4FDD-91C2-61617BCB0471}"/>
                </c:ext>
              </c:extLst>
            </c:dLbl>
            <c:dLbl>
              <c:idx val="3"/>
              <c:tx>
                <c:rich>
                  <a:bodyPr rot="5400000" vertOverflow="clip" horzOverflow="clip" vert="horz" wrap="square" lIns="38100" tIns="19050" rIns="38100" bIns="19050" anchor="t" anchorCtr="0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4C3A5266-D2F8-4917-BDE9-A701D5BFD790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4EC-4FDD-91C2-61617BCB0471}"/>
                </c:ext>
              </c:extLst>
            </c:dLbl>
            <c:dLbl>
              <c:idx val="4"/>
              <c:tx>
                <c:rich>
                  <a:bodyPr rot="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4EC-4FDD-91C2-61617BCB0471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Data'!$AN$3:$AN$7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xVal>
          <c:yVal>
            <c:numRef>
              <c:f>'Chart Data'!$AO$3:$AO$7</c:f>
              <c:numCache>
                <c:formatCode>_("$"* #,##0_);_("$"* \(#,##0\);_("$"* "-"??_);_(@_)</c:formatCode>
                <c:ptCount val="5"/>
                <c:pt idx="0">
                  <c:v>100000000</c:v>
                </c:pt>
                <c:pt idx="1">
                  <c:v>100000000</c:v>
                </c:pt>
                <c:pt idx="2">
                  <c:v>100000000</c:v>
                </c:pt>
                <c:pt idx="3">
                  <c:v>50000000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Data'!$AM$3:$AM$6</c15:f>
                <c15:dlblRangeCache>
                  <c:ptCount val="4"/>
                  <c:pt idx="1">
                    <c:v>Budget At Completion</c:v>
                  </c:pt>
                  <c:pt idx="3">
                    <c:v>Planned Completion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84EC-4FDD-91C2-61617BCB0471}"/>
            </c:ext>
          </c:extLst>
        </c:ser>
        <c:ser>
          <c:idx val="7"/>
          <c:order val="8"/>
          <c:tx>
            <c:v>Final Actuals</c:v>
          </c:tx>
          <c:spPr>
            <a:ln w="19050">
              <a:solidFill>
                <a:srgbClr val="00B050"/>
              </a:solidFill>
              <a:prstDash val="solid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EE097ACA-A1E0-462F-87D8-A78876DC75C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84EC-4FDD-91C2-61617BCB047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92D0141-21FD-429B-B930-9C1E5A023F0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4EC-4FDD-91C2-61617BCB047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4A1156A-2862-4253-9BBA-EE85EE7A46C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4EC-4FDD-91C2-61617BCB0471}"/>
                </c:ext>
              </c:extLst>
            </c:dLbl>
            <c:dLbl>
              <c:idx val="3"/>
              <c:tx>
                <c:rich>
                  <a:bodyPr rot="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ABA88F37-6B2B-4002-BF60-71DA216B4CB8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4EC-4FDD-91C2-61617BCB047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F55CF23-8173-4894-9C32-2F4594E1103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4EC-4FDD-91C2-61617BCB0471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Data'!$BD$3:$BD$7</c:f>
              <c:numCache>
                <c:formatCode>General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'Chart Data'!$BE$3:$BE$7</c:f>
              <c:numCache>
                <c:formatCode>General</c:formatCode>
                <c:ptCount val="5"/>
                <c:pt idx="0">
                  <c:v>130000000</c:v>
                </c:pt>
                <c:pt idx="1">
                  <c:v>130000000</c:v>
                </c:pt>
                <c:pt idx="2">
                  <c:v>130000000</c:v>
                </c:pt>
                <c:pt idx="3">
                  <c:v>65000000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Data'!$BC$3:$BC$7</c15:f>
                <c15:dlblRangeCache>
                  <c:ptCount val="5"/>
                  <c:pt idx="1">
                    <c:v>Final Cost</c:v>
                  </c:pt>
                  <c:pt idx="3">
                    <c:v>Final Duration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84EC-4FDD-91C2-61617BCB0471}"/>
            </c:ext>
          </c:extLst>
        </c:ser>
        <c:ser>
          <c:idx val="11"/>
          <c:order val="11"/>
          <c:tx>
            <c:v>Actual Cost to Date</c:v>
          </c:tx>
          <c:spPr>
            <a:ln w="12700"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'Chart Data'!$S$3:$S$33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xVal>
          <c:yVal>
            <c:numRef>
              <c:f>'Chart Data'!$V$3:$V$33</c:f>
              <c:numCache>
                <c:formatCode>General</c:formatCode>
                <c:ptCount val="31"/>
                <c:pt idx="0">
                  <c:v>0</c:v>
                </c:pt>
                <c:pt idx="1">
                  <c:v>1421622.7547118734</c:v>
                </c:pt>
                <c:pt idx="2">
                  <c:v>3118418.5797024793</c:v>
                </c:pt>
                <c:pt idx="3">
                  <c:v>5134061.7544289101</c:v>
                </c:pt>
                <c:pt idx="4">
                  <c:v>7515012.0934158238</c:v>
                </c:pt>
                <c:pt idx="5">
                  <c:v>10308826.551028855</c:v>
                </c:pt>
                <c:pt idx="6">
                  <c:v>13561618.082506869</c:v>
                </c:pt>
                <c:pt idx="7">
                  <c:v>17314562.952971365</c:v>
                </c:pt>
                <c:pt idx="8">
                  <c:v>21599479.306924</c:v>
                </c:pt>
                <c:pt idx="9">
                  <c:v>26433696.950413063</c:v>
                </c:pt>
                <c:pt idx="10">
                  <c:v>31814701.237123687</c:v>
                </c:pt>
                <c:pt idx="11">
                  <c:v>37715317.687306345</c:v>
                </c:pt>
                <c:pt idx="12">
                  <c:v>44080421.651255101</c:v>
                </c:pt>
                <c:pt idx="13">
                  <c:v>50826193.926843315</c:v>
                </c:pt>
                <c:pt idx="14">
                  <c:v>57842697.729863882</c:v>
                </c:pt>
                <c:pt idx="15">
                  <c:v>64999999.999999985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84EC-4FDD-91C2-61617BCB0471}"/>
            </c:ext>
          </c:extLst>
        </c:ser>
        <c:ser>
          <c:idx val="12"/>
          <c:order val="12"/>
          <c:tx>
            <c:v>Earned Value to Date</c:v>
          </c:tx>
          <c:spPr>
            <a:ln w="12700"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'Chart Data'!$S$3:$S$33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xVal>
          <c:yVal>
            <c:numRef>
              <c:f>'Chart Data'!$U$3:$U$33</c:f>
              <c:numCache>
                <c:formatCode>General</c:formatCode>
                <c:ptCount val="31"/>
                <c:pt idx="0">
                  <c:v>0</c:v>
                </c:pt>
                <c:pt idx="1">
                  <c:v>1478455.6243997603</c:v>
                </c:pt>
                <c:pt idx="2">
                  <c:v>3174155.8634039946</c:v>
                </c:pt>
                <c:pt idx="3">
                  <c:v>5109699.1571174189</c:v>
                </c:pt>
                <c:pt idx="4">
                  <c:v>7306928.251828202</c:v>
                </c:pt>
                <c:pt idx="5">
                  <c:v>9785751.0093946029</c:v>
                </c:pt>
                <c:pt idx="6">
                  <c:v>12562701.762166522</c:v>
                </c:pt>
                <c:pt idx="7">
                  <c:v>15649287.697149307</c:v>
                </c:pt>
                <c:pt idx="8">
                  <c:v>19050213.950931884</c:v>
                </c:pt>
                <c:pt idx="9">
                  <c:v>22761636.822139148</c:v>
                </c:pt>
                <c:pt idx="10">
                  <c:v>26769647.004476327</c:v>
                </c:pt>
                <c:pt idx="11">
                  <c:v>31049219.71925937</c:v>
                </c:pt>
                <c:pt idx="12">
                  <c:v>35563869.744324185</c:v>
                </c:pt>
                <c:pt idx="13">
                  <c:v>40266203.122053586</c:v>
                </c:pt>
                <c:pt idx="14">
                  <c:v>45099459.51346156</c:v>
                </c:pt>
                <c:pt idx="15">
                  <c:v>49999999.999999993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84EC-4FDD-91C2-61617BCB0471}"/>
            </c:ext>
          </c:extLst>
        </c:ser>
        <c:ser>
          <c:idx val="14"/>
          <c:order val="14"/>
          <c:tx>
            <c:v>Future Actual Costs (Unknown)</c:v>
          </c:tx>
          <c:spPr>
            <a:ln w="12700" cmpd="tri">
              <a:solidFill>
                <a:schemeClr val="accent3">
                  <a:lumMod val="50000"/>
                </a:schemeClr>
              </a:solidFill>
              <a:prstDash val="dash"/>
            </a:ln>
          </c:spPr>
          <c:marker>
            <c:symbol val="none"/>
          </c:marker>
          <c:dPt>
            <c:idx val="30"/>
            <c:marker>
              <c:symbol val="circle"/>
              <c:size val="10"/>
              <c:spPr>
                <a:solidFill>
                  <a:schemeClr val="bg1"/>
                </a:solidFill>
                <a:ln>
                  <a:solidFill>
                    <a:schemeClr val="accent3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1CA5-4ADB-8C1F-9197B678E612}"/>
              </c:ext>
            </c:extLst>
          </c:dPt>
          <c:xVal>
            <c:numRef>
              <c:f>'Chart Data'!$W$3:$W$33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'Chart Data'!$Z$3:$Z$33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64999999.999999985</c:v>
                </c:pt>
                <c:pt idx="16">
                  <c:v>72157302.270136088</c:v>
                </c:pt>
                <c:pt idx="17">
                  <c:v>79173806.073156655</c:v>
                </c:pt>
                <c:pt idx="18">
                  <c:v>85919578.348744884</c:v>
                </c:pt>
                <c:pt idx="19">
                  <c:v>92284682.312693626</c:v>
                </c:pt>
                <c:pt idx="20">
                  <c:v>98185298.762876287</c:v>
                </c:pt>
                <c:pt idx="21">
                  <c:v>103566303.04958689</c:v>
                </c:pt>
                <c:pt idx="22">
                  <c:v>108400520.69307597</c:v>
                </c:pt>
                <c:pt idx="23">
                  <c:v>112685437.04702863</c:v>
                </c:pt>
                <c:pt idx="24">
                  <c:v>116438381.91749313</c:v>
                </c:pt>
                <c:pt idx="25">
                  <c:v>119691173.44897111</c:v>
                </c:pt>
                <c:pt idx="26">
                  <c:v>122484987.90658414</c:v>
                </c:pt>
                <c:pt idx="27">
                  <c:v>124865938.24557108</c:v>
                </c:pt>
                <c:pt idx="28">
                  <c:v>126881581.42029749</c:v>
                </c:pt>
                <c:pt idx="29">
                  <c:v>128578377.24528812</c:v>
                </c:pt>
                <c:pt idx="30">
                  <c:v>130000000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84EC-4FDD-91C2-61617BCB0471}"/>
            </c:ext>
          </c:extLst>
        </c:ser>
        <c:ser>
          <c:idx val="15"/>
          <c:order val="15"/>
          <c:tx>
            <c:v>Future Earned Value (Unknown)</c:v>
          </c:tx>
          <c:spPr>
            <a:ln w="12700">
              <a:solidFill>
                <a:schemeClr val="tx2"/>
              </a:solidFill>
              <a:prstDash val="dash"/>
            </a:ln>
          </c:spPr>
          <c:marker>
            <c:symbol val="none"/>
          </c:marker>
          <c:xVal>
            <c:numRef>
              <c:f>'Chart Data'!$W$3:$W$33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'Chart Data'!$Y$3:$Y$33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49999999.999999993</c:v>
                </c:pt>
                <c:pt idx="16">
                  <c:v>54900540.486538425</c:v>
                </c:pt>
                <c:pt idx="17">
                  <c:v>59733796.877946407</c:v>
                </c:pt>
                <c:pt idx="18">
                  <c:v>64436130.2556758</c:v>
                </c:pt>
                <c:pt idx="19">
                  <c:v>68950780.280740604</c:v>
                </c:pt>
                <c:pt idx="20">
                  <c:v>73230352.995523646</c:v>
                </c:pt>
                <c:pt idx="21">
                  <c:v>77238363.177860841</c:v>
                </c:pt>
                <c:pt idx="22">
                  <c:v>80949786.049068078</c:v>
                </c:pt>
                <c:pt idx="23">
                  <c:v>84350712.302850679</c:v>
                </c:pt>
                <c:pt idx="24">
                  <c:v>87437298.23783347</c:v>
                </c:pt>
                <c:pt idx="25">
                  <c:v>90214248.990605384</c:v>
                </c:pt>
                <c:pt idx="26">
                  <c:v>92693071.748171791</c:v>
                </c:pt>
                <c:pt idx="27">
                  <c:v>94890300.842882559</c:v>
                </c:pt>
                <c:pt idx="28">
                  <c:v>96825844.136595994</c:v>
                </c:pt>
                <c:pt idx="29">
                  <c:v>98521544.375600234</c:v>
                </c:pt>
                <c:pt idx="30">
                  <c:v>100000000.00000001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84EC-4FDD-91C2-61617BCB0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809807"/>
        <c:axId val="1052780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Actual Cost</c:v>
                </c:tx>
                <c:spPr>
                  <a:ln w="12700">
                    <a:solidFill>
                      <a:schemeClr val="accent3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'Chart Data'!$L$3:$L$33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1421622.7547118734</c:v>
                      </c:pt>
                      <c:pt idx="2">
                        <c:v>3118418.5797024793</c:v>
                      </c:pt>
                      <c:pt idx="3">
                        <c:v>5134061.7544289101</c:v>
                      </c:pt>
                      <c:pt idx="4">
                        <c:v>7515012.0934158238</c:v>
                      </c:pt>
                      <c:pt idx="5">
                        <c:v>10308826.551028855</c:v>
                      </c:pt>
                      <c:pt idx="6">
                        <c:v>13561618.082506869</c:v>
                      </c:pt>
                      <c:pt idx="7">
                        <c:v>17314562.952971365</c:v>
                      </c:pt>
                      <c:pt idx="8">
                        <c:v>21599479.306924</c:v>
                      </c:pt>
                      <c:pt idx="9">
                        <c:v>26433696.950413063</c:v>
                      </c:pt>
                      <c:pt idx="10">
                        <c:v>31814701.237123687</c:v>
                      </c:pt>
                      <c:pt idx="11">
                        <c:v>37715317.687306345</c:v>
                      </c:pt>
                      <c:pt idx="12">
                        <c:v>44080421.651255101</c:v>
                      </c:pt>
                      <c:pt idx="13">
                        <c:v>50826193.926843315</c:v>
                      </c:pt>
                      <c:pt idx="14">
                        <c:v>57842697.729863882</c:v>
                      </c:pt>
                      <c:pt idx="15">
                        <c:v>64999999.999999985</c:v>
                      </c:pt>
                      <c:pt idx="16">
                        <c:v>72157302.270136088</c:v>
                      </c:pt>
                      <c:pt idx="17">
                        <c:v>79173806.073156655</c:v>
                      </c:pt>
                      <c:pt idx="18">
                        <c:v>85919578.348744884</c:v>
                      </c:pt>
                      <c:pt idx="19">
                        <c:v>92284682.312693626</c:v>
                      </c:pt>
                      <c:pt idx="20">
                        <c:v>98185298.762876287</c:v>
                      </c:pt>
                      <c:pt idx="21">
                        <c:v>103566303.04958689</c:v>
                      </c:pt>
                      <c:pt idx="22">
                        <c:v>108400520.69307597</c:v>
                      </c:pt>
                      <c:pt idx="23">
                        <c:v>112685437.04702863</c:v>
                      </c:pt>
                      <c:pt idx="24">
                        <c:v>116438381.91749313</c:v>
                      </c:pt>
                      <c:pt idx="25">
                        <c:v>119691173.44897111</c:v>
                      </c:pt>
                      <c:pt idx="26" formatCode="General">
                        <c:v>122484987.90658414</c:v>
                      </c:pt>
                      <c:pt idx="27" formatCode="General">
                        <c:v>124865938.24557108</c:v>
                      </c:pt>
                      <c:pt idx="28" formatCode="General">
                        <c:v>126881581.42029749</c:v>
                      </c:pt>
                      <c:pt idx="29" formatCode="General">
                        <c:v>128578377.24528812</c:v>
                      </c:pt>
                      <c:pt idx="30" formatCode="General">
                        <c:v>130000000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A-84EC-4FDD-91C2-61617BCB0471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Earned Value</c:v>
                </c:tx>
                <c:spPr>
                  <a:ln w="12700"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Data'!$K$3:$K$33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1478455.6243997603</c:v>
                      </c:pt>
                      <c:pt idx="2">
                        <c:v>3174155.8634039946</c:v>
                      </c:pt>
                      <c:pt idx="3">
                        <c:v>5109699.1571174189</c:v>
                      </c:pt>
                      <c:pt idx="4">
                        <c:v>7306928.251828202</c:v>
                      </c:pt>
                      <c:pt idx="5">
                        <c:v>9785751.0093946029</c:v>
                      </c:pt>
                      <c:pt idx="6">
                        <c:v>12562701.762166522</c:v>
                      </c:pt>
                      <c:pt idx="7">
                        <c:v>15649287.697149307</c:v>
                      </c:pt>
                      <c:pt idx="8">
                        <c:v>19050213.950931884</c:v>
                      </c:pt>
                      <c:pt idx="9">
                        <c:v>22761636.822139148</c:v>
                      </c:pt>
                      <c:pt idx="10">
                        <c:v>26769647.004476327</c:v>
                      </c:pt>
                      <c:pt idx="11">
                        <c:v>31049219.71925937</c:v>
                      </c:pt>
                      <c:pt idx="12">
                        <c:v>35563869.744324185</c:v>
                      </c:pt>
                      <c:pt idx="13">
                        <c:v>40266203.122053586</c:v>
                      </c:pt>
                      <c:pt idx="14">
                        <c:v>45099459.51346156</c:v>
                      </c:pt>
                      <c:pt idx="15">
                        <c:v>49999999.999999993</c:v>
                      </c:pt>
                      <c:pt idx="16">
                        <c:v>54900540.486538425</c:v>
                      </c:pt>
                      <c:pt idx="17">
                        <c:v>59733796.877946407</c:v>
                      </c:pt>
                      <c:pt idx="18">
                        <c:v>64436130.2556758</c:v>
                      </c:pt>
                      <c:pt idx="19">
                        <c:v>68950780.280740604</c:v>
                      </c:pt>
                      <c:pt idx="20">
                        <c:v>73230352.995523646</c:v>
                      </c:pt>
                      <c:pt idx="21">
                        <c:v>77238363.177860841</c:v>
                      </c:pt>
                      <c:pt idx="22">
                        <c:v>80949786.049068078</c:v>
                      </c:pt>
                      <c:pt idx="23">
                        <c:v>84350712.302850679</c:v>
                      </c:pt>
                      <c:pt idx="24">
                        <c:v>87437298.23783347</c:v>
                      </c:pt>
                      <c:pt idx="25">
                        <c:v>90214248.990605384</c:v>
                      </c:pt>
                      <c:pt idx="26">
                        <c:v>92693071.748171791</c:v>
                      </c:pt>
                      <c:pt idx="27">
                        <c:v>94890300.842882559</c:v>
                      </c:pt>
                      <c:pt idx="28">
                        <c:v>96825844.136595994</c:v>
                      </c:pt>
                      <c:pt idx="29">
                        <c:v>98521544.375600234</c:v>
                      </c:pt>
                      <c:pt idx="30">
                        <c:v>100000000.00000001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B-84EC-4FDD-91C2-61617BCB0471}"/>
                  </c:ext>
                </c:extLst>
              </c15:ser>
            </c15:filteredScatterSeries>
            <c15:filteredScatterSeries>
              <c15:ser>
                <c:idx val="6"/>
                <c:order val="6"/>
                <c:tx>
                  <c:v>EV(Now)=PV(ES)</c:v>
                </c:tx>
                <c:spPr>
                  <a:ln w="25400">
                    <a:solidFill>
                      <a:schemeClr val="tx1"/>
                    </a:solidFill>
                    <a:tailEnd type="triangle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Data'!$AZ$11:$AZ$12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15</c:v>
                      </c:pt>
                      <c:pt idx="1">
                        <c:v>12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Data'!$BA$11:$BA$12</c15:sqref>
                        </c15:formulaRef>
                      </c:ext>
                    </c:extLst>
                    <c:numCache>
                      <c:formatCode>General</c:formatCode>
                      <c:ptCount val="2"/>
                      <c:pt idx="0">
                        <c:v>46999999.999999993</c:v>
                      </c:pt>
                      <c:pt idx="1">
                        <c:v>46999999.999999993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84EC-4FDD-91C2-61617BCB0471}"/>
                  </c:ext>
                </c:extLst>
              </c15:ser>
            </c15:filteredScatterSeries>
            <c15:filteredScatterSeries>
              <c15:ser>
                <c:idx val="8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Data'!$AU$1</c15:sqref>
                        </c15:formulaRef>
                      </c:ext>
                    </c:extLst>
                    <c:strCache>
                      <c:ptCount val="1"/>
                      <c:pt idx="0">
                        <c:v>Cost Variance</c:v>
                      </c:pt>
                    </c:strCache>
                  </c:strRef>
                </c:tx>
                <c:spPr>
                  <a:ln w="12700">
                    <a:solidFill>
                      <a:schemeClr val="tx1"/>
                    </a:solidFill>
                    <a:prstDash val="sysDot"/>
                    <a:headEnd type="arrow"/>
                    <a:tailEnd type="arrow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2B94D8FD-25FD-4E45-8C30-302B48CF0F2E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E-84EC-4FDD-91C2-61617BCB0471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78768DE2-C21B-488E-A4D7-ABE922A1482D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1F-84EC-4FDD-91C2-61617BCB0471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4344436B-B0AF-4D40-8413-46877ACEDF2C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0-84EC-4FDD-91C2-61617BCB0471}"/>
                      </c:ext>
                    </c:extLst>
                  </c:dLbl>
                  <c:spPr>
                    <a:solidFill>
                      <a:schemeClr val="bg1">
                        <a:alpha val="75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vertOverflow="clip" horzOverflow="clip" wrap="none" lIns="0" tIns="0" rIns="0" bIns="0" anchor="ctr">
                      <a:spAutoFit/>
                    </a:bodyPr>
                    <a:lstStyle/>
                    <a:p>
                      <a:pPr>
                        <a:defRPr sz="8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Data'!$AV$3:$AV$5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1.5</c:v>
                      </c:pt>
                      <c:pt idx="1">
                        <c:v>1.5</c:v>
                      </c:pt>
                      <c:pt idx="2">
                        <c:v>1.5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Data'!$AW$3:$AW$5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64999999.999999985</c:v>
                      </c:pt>
                      <c:pt idx="1">
                        <c:v>57499999.999999985</c:v>
                      </c:pt>
                      <c:pt idx="2">
                        <c:v>49999999.999999993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Data'!$AU$3:$AU$5</c15:f>
                      <c15:dlblRangeCache>
                        <c:ptCount val="3"/>
                        <c:pt idx="1">
                          <c:v>CV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1-84EC-4FDD-91C2-61617BCB0471}"/>
                  </c:ext>
                </c:extLst>
              </c15:ser>
            </c15:filteredScatterSeries>
            <c15:filteredScatterSeries>
              <c15:ser>
                <c:idx val="9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Data'!$AU$7</c15:sqref>
                        </c15:formulaRef>
                      </c:ext>
                    </c:extLst>
                    <c:strCache>
                      <c:ptCount val="1"/>
                      <c:pt idx="0">
                        <c:v>Schedule Variance</c:v>
                      </c:pt>
                    </c:strCache>
                  </c:strRef>
                </c:tx>
                <c:spPr>
                  <a:ln w="12700">
                    <a:solidFill>
                      <a:schemeClr val="tx1"/>
                    </a:solidFill>
                    <a:prstDash val="sysDot"/>
                    <a:headEnd type="arrow"/>
                    <a:tailEnd type="arrow"/>
                  </a:ln>
                </c:spPr>
                <c:marker>
                  <c:symbol val="none"/>
                </c:marker>
                <c:dLbls>
                  <c:dLbl>
                    <c:idx val="0"/>
                    <c:tx>
                      <c:rich>
                        <a:bodyPr/>
                        <a:lstStyle/>
                        <a:p>
                          <a:fld id="{F82836C4-EC2E-48CE-AEBE-4F0704B4190F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 xmlns:c15="http://schemas.microsoft.com/office/drawing/2012/chart">
                      <c:ext xmlns:c15="http://schemas.microsoft.com/office/drawing/2012/chart" uri="{CE6537A1-D6FC-4f65-9D91-7224C49458BB}">
                        <c15:dlblFieldTable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2-84EC-4FDD-91C2-61617BCB0471}"/>
                      </c:ext>
                    </c:extLst>
                  </c:dLbl>
                  <c:dLbl>
                    <c:idx val="1"/>
                    <c:tx>
                      <c:rich>
                        <a:bodyPr/>
                        <a:lstStyle/>
                        <a:p>
                          <a:fld id="{F0FE6B34-EBC4-415C-9039-66C789D90DE7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3-84EC-4FDD-91C2-61617BCB0471}"/>
                      </c:ext>
                    </c:extLst>
                  </c:dLbl>
                  <c:dLbl>
                    <c:idx val="2"/>
                    <c:tx>
                      <c:rich>
                        <a:bodyPr/>
                        <a:lstStyle/>
                        <a:p>
                          <a:fld id="{62E32C36-E515-4C63-8B34-5770CDB26F9C}" type="CELLRANGE">
                            <a:rPr lang="en-US"/>
                            <a:pPr/>
                            <a:t>[CELLRANGE]</a:t>
                          </a:fld>
                          <a:endParaRPr lang="en-US"/>
                        </a:p>
                      </c:rich>
                    </c:tx>
                    <c:dLblPos val="ctr"/>
                    <c:showLegendKey val="0"/>
                    <c:showVal val="0"/>
                    <c:showCatName val="0"/>
                    <c:showSerName val="0"/>
                    <c:showPercent val="0"/>
                    <c:showBubbleSize val="0"/>
                    <c:extLst>
                      <c:ext xmlns:c15="http://schemas.microsoft.com/office/drawing/2012/chart" uri="{CE6537A1-D6FC-4f65-9D91-7224C49458BB}">
                        <c15:dlblFieldTable/>
                        <c15:xForSave val="1"/>
                        <c15:showDataLabelsRange val="1"/>
                      </c:ext>
                      <c:ext xmlns:c16="http://schemas.microsoft.com/office/drawing/2014/chart" uri="{C3380CC4-5D6E-409C-BE32-E72D297353CC}">
                        <c16:uniqueId val="{00000024-84EC-4FDD-91C2-61617BCB0471}"/>
                      </c:ext>
                    </c:extLst>
                  </c:dLbl>
                  <c:spPr>
                    <a:solidFill>
                      <a:schemeClr val="bg1">
                        <a:alpha val="75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vertOverflow="clip" horzOverflow="clip" wrap="none" lIns="0" tIns="0" rIns="0" bIns="0" anchor="ctr">
                      <a:spAutoFit/>
                    </a:bodyPr>
                    <a:lstStyle/>
                    <a:p>
                      <a:pPr>
                        <a:defRPr sz="800">
                          <a:latin typeface="Arial Nova Light" panose="020B0304020202020204" pitchFamily="34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0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DataLabelsRange val="1"/>
                      <c15:showLeaderLines val="0"/>
                    </c:ext>
                  </c:extLst>
                </c:dLbls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Data'!$AV$9:$AV$11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3</c:v>
                      </c:pt>
                      <c:pt idx="1">
                        <c:v>3</c:v>
                      </c:pt>
                      <c:pt idx="2">
                        <c:v>3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Data'!$AW$9:$AW$11</c15:sqref>
                        </c15:formulaRef>
                      </c:ext>
                    </c:extLst>
                    <c:numCache>
                      <c:formatCode>General</c:formatCode>
                      <c:ptCount val="3"/>
                      <c:pt idx="0">
                        <c:v>78106207.430224136</c:v>
                      </c:pt>
                      <c:pt idx="1">
                        <c:v>64053103.71511206</c:v>
                      </c:pt>
                      <c:pt idx="2">
                        <c:v>49999999.999999993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5="http://schemas.microsoft.com/office/drawing/2012/chart" uri="{02D57815-91ED-43cb-92C2-25804820EDAC}">
                    <c15:datalabelsRange>
                      <c15:f>'Chart Data'!$AU$9:$AU$11</c15:f>
                      <c15:dlblRangeCache>
                        <c:ptCount val="3"/>
                        <c:pt idx="1">
                          <c:v>SV</c:v>
                        </c:pt>
                      </c15:dlblRangeCache>
                    </c15:datalabelsRange>
                  </c:ext>
                  <c:ext xmlns:c16="http://schemas.microsoft.com/office/drawing/2014/chart" uri="{C3380CC4-5D6E-409C-BE32-E72D297353CC}">
                    <c16:uniqueId val="{00000025-84EC-4FDD-91C2-61617BCB0471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Planned Value to Date</c:v>
                </c:tx>
                <c:spPr>
                  <a:ln w="12700">
                    <a:solidFill>
                      <a:srgbClr val="C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Data'!$S$3:$S$33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Data'!$T$3:$T$33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347097.34666395112</c:v>
                      </c:pt>
                      <c:pt idx="2">
                        <c:v>869063.31807220192</c:v>
                      </c:pt>
                      <c:pt idx="3">
                        <c:v>1650545.6099969603</c:v>
                      </c:pt>
                      <c:pt idx="4">
                        <c:v>2812886.9401066336</c:v>
                      </c:pt>
                      <c:pt idx="5">
                        <c:v>4524862.6818683473</c:v>
                      </c:pt>
                      <c:pt idx="6">
                        <c:v>7010371.6545108147</c:v>
                      </c:pt>
                      <c:pt idx="7">
                        <c:v>10544593.489371434</c:v>
                      </c:pt>
                      <c:pt idx="8">
                        <c:v>15424087.634018205</c:v>
                      </c:pt>
                      <c:pt idx="9">
                        <c:v>21893792.569775846</c:v>
                      </c:pt>
                      <c:pt idx="10">
                        <c:v>30026715.167758327</c:v>
                      </c:pt>
                      <c:pt idx="11">
                        <c:v>39592149.822794147</c:v>
                      </c:pt>
                      <c:pt idx="12">
                        <c:v>49999999.999999993</c:v>
                      </c:pt>
                      <c:pt idx="13">
                        <c:v>60407850.177205808</c:v>
                      </c:pt>
                      <c:pt idx="14">
                        <c:v>69973284.832241684</c:v>
                      </c:pt>
                      <c:pt idx="15">
                        <c:v>78106207.430224136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C-84EC-4FDD-91C2-61617BCB0471}"/>
                  </c:ext>
                </c:extLst>
              </c15:ser>
            </c15:filteredScatterSeries>
          </c:ext>
        </c:extLst>
      </c:scatterChart>
      <c:valAx>
        <c:axId val="105280980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80527"/>
        <c:crosses val="autoZero"/>
        <c:crossBetween val="midCat"/>
      </c:valAx>
      <c:valAx>
        <c:axId val="10527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809807"/>
        <c:crosses val="autoZero"/>
        <c:crossBetween val="midCat"/>
      </c:valAx>
      <c:spPr>
        <a:solidFill>
          <a:schemeClr val="bg1"/>
        </a:solidFill>
      </c:spPr>
    </c:plotArea>
    <c:legend>
      <c:legendPos val="b"/>
      <c:layout>
        <c:manualLayout>
          <c:xMode val="edge"/>
          <c:yMode val="edge"/>
          <c:x val="0.1496024505257193"/>
          <c:y val="0.88114417542595858"/>
          <c:w val="0.76517400709526695"/>
          <c:h val="0.10671709707907488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EVM Concepts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159719099511103"/>
          <c:y val="6.7201727724733831E-2"/>
          <c:w val="0.81820575992006728"/>
          <c:h val="0.76956862351179955"/>
        </c:manualLayout>
      </c:layout>
      <c:scatterChart>
        <c:scatterStyle val="lineMarker"/>
        <c:varyColors val="0"/>
        <c:ser>
          <c:idx val="0"/>
          <c:order val="2"/>
          <c:tx>
            <c:v>Planned Value</c:v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'Chart Data'!$E$3:$E$27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  <c:extLst xmlns:c15="http://schemas.microsoft.com/office/drawing/2012/chart"/>
            </c:numRef>
          </c:xVal>
          <c:yVal>
            <c:numRef>
              <c:f>'Chart Data'!$AC$3:$AC$33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347097.34666395112</c:v>
                </c:pt>
                <c:pt idx="2">
                  <c:v>869063.31807220192</c:v>
                </c:pt>
                <c:pt idx="3">
                  <c:v>1650545.6099969603</c:v>
                </c:pt>
                <c:pt idx="4">
                  <c:v>2812886.9401066336</c:v>
                </c:pt>
                <c:pt idx="5">
                  <c:v>4524862.6818683473</c:v>
                </c:pt>
                <c:pt idx="6">
                  <c:v>7010371.6545108147</c:v>
                </c:pt>
                <c:pt idx="7">
                  <c:v>10544593.489371434</c:v>
                </c:pt>
                <c:pt idx="8">
                  <c:v>15424087.634018205</c:v>
                </c:pt>
                <c:pt idx="9">
                  <c:v>21893792.569775846</c:v>
                </c:pt>
                <c:pt idx="10">
                  <c:v>30026715.167758327</c:v>
                </c:pt>
                <c:pt idx="11">
                  <c:v>39592149.822794147</c:v>
                </c:pt>
                <c:pt idx="12">
                  <c:v>49999999.999999993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653E-48C8-82E1-EB751D059CAF}"/>
            </c:ext>
          </c:extLst>
        </c:ser>
        <c:ser>
          <c:idx val="4"/>
          <c:order val="3"/>
          <c:tx>
            <c:v>Actual Now</c:v>
          </c:tx>
          <c:spPr>
            <a:ln w="19050">
              <a:solidFill>
                <a:schemeClr val="accent3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3E-48C8-82E1-EB751D059CAF}"/>
                </c:ext>
              </c:extLst>
            </c:dLbl>
            <c:dLbl>
              <c:idx val="1"/>
              <c:tx>
                <c:rich>
                  <a:bodyPr wrap="none" lIns="0" tIns="0" rIns="0" bIns="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  <a:cs typeface="Arial" panose="020B0604020202020204" pitchFamily="34" charset="0"/>
                      </a:defRPr>
                    </a:pPr>
                    <a:fld id="{6D0470D1-7126-4F22-8F5A-ED97F85BF359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  <a:cs typeface="Arial" panose="020B06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53E-48C8-82E1-EB751D059CA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3E-48C8-82E1-EB751D059CAF}"/>
                </c:ext>
              </c:extLst>
            </c:dLbl>
            <c:dLbl>
              <c:idx val="3"/>
              <c:tx>
                <c:rich>
                  <a:bodyPr rot="5400000" vert="horz" wrap="none" lIns="0" tIns="0" rIns="0" bIns="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22D1CB52-7D3F-4ABA-B957-B1FB6B78A76E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53E-48C8-82E1-EB751D059CAF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3E-48C8-82E1-EB751D059CAF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none" lIns="0" tIns="0" rIns="0" bIns="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'Chart Data'!$AR$3:$AR$7</c:f>
              <c:numCache>
                <c:formatCode>General</c:formatCode>
                <c:ptCount val="5"/>
                <c:pt idx="0">
                  <c:v>0</c:v>
                </c:pt>
                <c:pt idx="1">
                  <c:v>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</c:numCache>
            </c:numRef>
          </c:xVal>
          <c:yVal>
            <c:numRef>
              <c:f>'Chart Data'!$AS$3:$AS$7</c:f>
              <c:numCache>
                <c:formatCode>General</c:formatCode>
                <c:ptCount val="5"/>
                <c:pt idx="0">
                  <c:v>64999999.999999985</c:v>
                </c:pt>
                <c:pt idx="1">
                  <c:v>64999999.999999985</c:v>
                </c:pt>
                <c:pt idx="2">
                  <c:v>64999999.999999985</c:v>
                </c:pt>
                <c:pt idx="3">
                  <c:v>16000000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Data'!$AQ$3:$AQ$7</c15:f>
                <c15:dlblRangeCache>
                  <c:ptCount val="5"/>
                  <c:pt idx="1">
                    <c:v>Actual Cost to Date</c:v>
                  </c:pt>
                  <c:pt idx="3">
                    <c:v>Status Date</c:v>
                  </c:pt>
                  <c:pt idx="4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6-653E-48C8-82E1-EB751D059CAF}"/>
            </c:ext>
          </c:extLst>
        </c:ser>
        <c:ser>
          <c:idx val="5"/>
          <c:order val="4"/>
          <c:tx>
            <c:v>Earned Schedule</c:v>
          </c:tx>
          <c:spPr>
            <a:ln w="19050">
              <a:solidFill>
                <a:schemeClr val="accent1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5D9107B1-6D39-477C-BB08-50F5EA9531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53E-48C8-82E1-EB751D059C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2298FA2-D36C-431C-92A7-4B65DEB2142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653E-48C8-82E1-EB751D059CA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53E-48C8-82E1-EB751D059CAF}"/>
                </c:ext>
              </c:extLst>
            </c:dLbl>
            <c:dLbl>
              <c:idx val="3"/>
              <c:tx>
                <c:rich>
                  <a:bodyPr rot="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08C6107F-0029-4B45-A800-8A414150F9F1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numFmt formatCode="#,##0" sourceLinked="0"/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653E-48C8-82E1-EB751D059CAF}"/>
                </c:ext>
              </c:extLst>
            </c:dLbl>
            <c:dLbl>
              <c:idx val="4"/>
              <c:numFmt formatCode="#,##0" sourceLinked="0"/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>
                      <a:latin typeface="Arial Nova Light" panose="020B0304020202020204" pitchFamily="34" charset="0"/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653E-48C8-82E1-EB751D059CAF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Data'!$AZ$3:$AZ$7</c:f>
              <c:numCache>
                <c:formatCode>General</c:formatCode>
                <c:ptCount val="5"/>
                <c:pt idx="0">
                  <c:v>0</c:v>
                </c:pt>
                <c:pt idx="1">
                  <c:v>7.5</c:v>
                </c:pt>
                <c:pt idx="2" formatCode="0.00">
                  <c:v>12</c:v>
                </c:pt>
                <c:pt idx="3" formatCode="0.00">
                  <c:v>12</c:v>
                </c:pt>
                <c:pt idx="4" formatCode="0.00">
                  <c:v>12</c:v>
                </c:pt>
              </c:numCache>
            </c:numRef>
          </c:xVal>
          <c:yVal>
            <c:numRef>
              <c:f>'Chart Data'!$BA$3:$BA$7</c:f>
              <c:numCache>
                <c:formatCode>General</c:formatCode>
                <c:ptCount val="5"/>
                <c:pt idx="0">
                  <c:v>49999999.999999993</c:v>
                </c:pt>
                <c:pt idx="1">
                  <c:v>49999999.999999993</c:v>
                </c:pt>
                <c:pt idx="2">
                  <c:v>49999999.999999993</c:v>
                </c:pt>
                <c:pt idx="3">
                  <c:v>16000000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Data'!$AY$3:$AY$6</c15:f>
                <c15:dlblRangeCache>
                  <c:ptCount val="4"/>
                  <c:pt idx="1">
                    <c:v>Earned Value to Date</c:v>
                  </c:pt>
                  <c:pt idx="3">
                    <c:v>Earned Schedule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653E-48C8-82E1-EB751D059CAF}"/>
            </c:ext>
          </c:extLst>
        </c:ser>
        <c:ser>
          <c:idx val="10"/>
          <c:order val="5"/>
          <c:tx>
            <c:strRef>
              <c:f>'Chart Data'!$AQ$17</c:f>
              <c:strCache>
                <c:ptCount val="1"/>
                <c:pt idx="0">
                  <c:v>Cumulative Planned Value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4509ADA0-08E1-47F7-9739-8A82A12702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53E-48C8-82E1-EB751D059CAF}"/>
                </c:ext>
              </c:extLst>
            </c:dLbl>
            <c:dLbl>
              <c:idx val="1"/>
              <c:tx>
                <c:rich>
                  <a:bodyPr vertOverflow="overflow" horzOverflow="overflow" wrap="none" lIns="0" tIns="0" rIns="0" bIns="0" anchor="ctr">
                    <a:no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1650F224-2CD6-4611-A608-76631887FCCB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11990337277702"/>
                      <c:h val="3.830762325819813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53E-48C8-82E1-EB751D059C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87B31E1-6DDE-44DC-9938-C8293B3342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53E-48C8-82E1-EB751D059C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Data'!$AR$19:$AR$21</c:f>
              <c:numCache>
                <c:formatCode>General</c:formatCode>
                <c:ptCount val="3"/>
                <c:pt idx="0">
                  <c:v>0</c:v>
                </c:pt>
                <c:pt idx="1">
                  <c:v>7.5</c:v>
                </c:pt>
                <c:pt idx="2" formatCode="0.00">
                  <c:v>15</c:v>
                </c:pt>
              </c:numCache>
            </c:numRef>
          </c:xVal>
          <c:yVal>
            <c:numRef>
              <c:f>'Chart Data'!$AS$19:$AS$21</c:f>
              <c:numCache>
                <c:formatCode>General</c:formatCode>
                <c:ptCount val="3"/>
                <c:pt idx="0">
                  <c:v>78106207.430224136</c:v>
                </c:pt>
                <c:pt idx="1">
                  <c:v>78106207.430224136</c:v>
                </c:pt>
                <c:pt idx="2">
                  <c:v>78106207.430224136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Data'!$AQ$19:$AQ$21</c15:f>
                <c15:dlblRangeCache>
                  <c:ptCount val="3"/>
                  <c:pt idx="1">
                    <c:v>Planned Value to Date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0-653E-48C8-82E1-EB751D059CAF}"/>
            </c:ext>
          </c:extLst>
        </c:ser>
        <c:ser>
          <c:idx val="6"/>
          <c:order val="6"/>
          <c:tx>
            <c:v>EV(Now)=PV(ES)</c:v>
          </c:tx>
          <c:spPr>
            <a:ln w="25400">
              <a:solidFill>
                <a:schemeClr val="tx1"/>
              </a:solidFill>
              <a:tailEnd type="triangle"/>
            </a:ln>
          </c:spPr>
          <c:marker>
            <c:symbol val="none"/>
          </c:marker>
          <c:xVal>
            <c:numRef>
              <c:f>'Chart Data'!$AZ$11:$AZ$12</c:f>
              <c:numCache>
                <c:formatCode>General</c:formatCode>
                <c:ptCount val="2"/>
                <c:pt idx="0">
                  <c:v>15</c:v>
                </c:pt>
                <c:pt idx="1">
                  <c:v>12</c:v>
                </c:pt>
              </c:numCache>
            </c:numRef>
          </c:xVal>
          <c:yVal>
            <c:numRef>
              <c:f>'Chart Data'!$BA$11:$BA$12</c:f>
              <c:numCache>
                <c:formatCode>General</c:formatCode>
                <c:ptCount val="2"/>
                <c:pt idx="0">
                  <c:v>46999999.999999993</c:v>
                </c:pt>
                <c:pt idx="1">
                  <c:v>46999999.999999993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53E-48C8-82E1-EB751D059CAF}"/>
            </c:ext>
          </c:extLst>
        </c:ser>
        <c:ser>
          <c:idx val="3"/>
          <c:order val="7"/>
          <c:tx>
            <c:v>Baseline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CCCF0153-7F99-4D87-AEBB-48147B08C1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653E-48C8-82E1-EB751D059CAF}"/>
                </c:ext>
              </c:extLst>
            </c:dLbl>
            <c:dLbl>
              <c:idx val="1"/>
              <c:layout>
                <c:manualLayout>
                  <c:x val="-0.18661394258933803"/>
                  <c:y val="-3.6991770677055667E-17"/>
                </c:manualLayout>
              </c:layout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4C70A3B8-C043-4508-9987-0010CAF12645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99000"/>
                  </a:schemeClr>
                </a:solidFill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653E-48C8-82E1-EB751D059CA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53E-48C8-82E1-EB751D059CAF}"/>
                </c:ext>
              </c:extLst>
            </c:dLbl>
            <c:dLbl>
              <c:idx val="3"/>
              <c:tx>
                <c:rich>
                  <a:bodyPr rot="5400000" vertOverflow="clip" horzOverflow="clip" vert="horz" wrap="square" lIns="38100" tIns="19050" rIns="38100" bIns="19050" anchor="t" anchorCtr="0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A752D42C-8D8F-475D-8A8A-90E6D21DB240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53E-48C8-82E1-EB751D059CAF}"/>
                </c:ext>
              </c:extLst>
            </c:dLbl>
            <c:dLbl>
              <c:idx val="4"/>
              <c:tx>
                <c:rich>
                  <a:bodyPr rot="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53E-48C8-82E1-EB751D059CAF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Data'!$AN$3:$AN$7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xVal>
          <c:yVal>
            <c:numRef>
              <c:f>'Chart Data'!$AO$3:$AO$7</c:f>
              <c:numCache>
                <c:formatCode>_("$"* #,##0_);_("$"* \(#,##0\);_("$"* "-"??_);_(@_)</c:formatCode>
                <c:ptCount val="5"/>
                <c:pt idx="0">
                  <c:v>100000000</c:v>
                </c:pt>
                <c:pt idx="1">
                  <c:v>100000000</c:v>
                </c:pt>
                <c:pt idx="2">
                  <c:v>100000000</c:v>
                </c:pt>
                <c:pt idx="3">
                  <c:v>50000000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Data'!$AM$3:$AM$6</c15:f>
                <c15:dlblRangeCache>
                  <c:ptCount val="4"/>
                  <c:pt idx="1">
                    <c:v>Budget At Completion</c:v>
                  </c:pt>
                  <c:pt idx="3">
                    <c:v>Planned Completion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7-653E-48C8-82E1-EB751D059CAF}"/>
            </c:ext>
          </c:extLst>
        </c:ser>
        <c:ser>
          <c:idx val="7"/>
          <c:order val="8"/>
          <c:tx>
            <c:v>Final Actuals</c:v>
          </c:tx>
          <c:spPr>
            <a:ln w="19050">
              <a:solidFill>
                <a:srgbClr val="00B05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AAA43053-9E6D-42D7-B68F-3E4EBBA0742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653E-48C8-82E1-EB751D059C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6469038E-E1E4-4575-8F27-2725C0F078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53E-48C8-82E1-EB751D059C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614E69E-82BD-4E67-AA0E-35727A593E3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53E-48C8-82E1-EB751D059CAF}"/>
                </c:ext>
              </c:extLst>
            </c:dLbl>
            <c:dLbl>
              <c:idx val="3"/>
              <c:tx>
                <c:rich>
                  <a:bodyPr rot="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6231D081-2F73-46E2-B129-12D828813BAD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653E-48C8-82E1-EB751D059C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3D4097E-857F-47D6-A4CF-79DC8D982B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653E-48C8-82E1-EB751D059CAF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Data'!$BD$3:$BD$7</c:f>
              <c:numCache>
                <c:formatCode>General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'Chart Data'!$BE$3:$BE$7</c:f>
              <c:numCache>
                <c:formatCode>General</c:formatCode>
                <c:ptCount val="5"/>
                <c:pt idx="0">
                  <c:v>130000000</c:v>
                </c:pt>
                <c:pt idx="1">
                  <c:v>130000000</c:v>
                </c:pt>
                <c:pt idx="2">
                  <c:v>130000000</c:v>
                </c:pt>
                <c:pt idx="3">
                  <c:v>65000000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Data'!$BC$3:$BC$7</c15:f>
                <c15:dlblRangeCache>
                  <c:ptCount val="5"/>
                  <c:pt idx="1">
                    <c:v>Final Cost</c:v>
                  </c:pt>
                  <c:pt idx="3">
                    <c:v>Final Duration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653E-48C8-82E1-EB751D059CAF}"/>
            </c:ext>
          </c:extLst>
        </c:ser>
        <c:ser>
          <c:idx val="8"/>
          <c:order val="9"/>
          <c:tx>
            <c:strRef>
              <c:f>'Chart Data'!$AU$1</c:f>
              <c:strCache>
                <c:ptCount val="1"/>
                <c:pt idx="0">
                  <c:v>Cost Variance</c:v>
                </c:pt>
              </c:strCache>
            </c:strRef>
          </c:tx>
          <c:spPr>
            <a:ln w="12700">
              <a:solidFill>
                <a:schemeClr val="tx1"/>
              </a:solidFill>
              <a:prstDash val="sysDot"/>
              <a:headEnd type="arrow"/>
              <a:tailEnd type="arrow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1F0EF1E1-4A38-479D-A90F-2563C2FFAD0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653E-48C8-82E1-EB751D059C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3374EA7-0871-426B-8419-14DF88813D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653E-48C8-82E1-EB751D059C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BC13589-AF0C-43F9-930A-707B118B0C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653E-48C8-82E1-EB751D059CAF}"/>
                </c:ext>
              </c:extLst>
            </c:dLbl>
            <c:spPr>
              <a:solidFill>
                <a:schemeClr val="bg1">
                  <a:alpha val="75000"/>
                </a:schemeClr>
              </a:solidFill>
              <a:ln>
                <a:noFill/>
              </a:ln>
              <a:effectLst/>
            </c:spPr>
            <c:txPr>
              <a:bodyPr vertOverflow="clip" horzOverflow="clip" wrap="none" lIns="0" tIns="0" rIns="0" bIns="0" anchor="ctr">
                <a:spAutoFit/>
              </a:bodyPr>
              <a:lstStyle/>
              <a:p>
                <a:pPr>
                  <a:defRPr sz="8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'Chart Data'!$AV$3:$AV$5</c:f>
              <c:numCache>
                <c:formatCode>General</c:formatCode>
                <c:ptCount val="3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</c:numCache>
            </c:numRef>
          </c:xVal>
          <c:yVal>
            <c:numRef>
              <c:f>'Chart Data'!$AW$3:$AW$5</c:f>
              <c:numCache>
                <c:formatCode>General</c:formatCode>
                <c:ptCount val="3"/>
                <c:pt idx="0">
                  <c:v>64999999.999999985</c:v>
                </c:pt>
                <c:pt idx="1">
                  <c:v>57499999.999999985</c:v>
                </c:pt>
                <c:pt idx="2">
                  <c:v>49999999.999999993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Data'!$AU$3:$AU$5</c15:f>
                <c15:dlblRangeCache>
                  <c:ptCount val="3"/>
                  <c:pt idx="1">
                    <c:v>CV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1-653E-48C8-82E1-EB751D059CAF}"/>
            </c:ext>
          </c:extLst>
        </c:ser>
        <c:ser>
          <c:idx val="9"/>
          <c:order val="10"/>
          <c:tx>
            <c:strRef>
              <c:f>'Chart Data'!$AU$7</c:f>
              <c:strCache>
                <c:ptCount val="1"/>
                <c:pt idx="0">
                  <c:v>Schedule Variance</c:v>
                </c:pt>
              </c:strCache>
            </c:strRef>
          </c:tx>
          <c:spPr>
            <a:ln w="12700">
              <a:solidFill>
                <a:schemeClr val="tx1"/>
              </a:solidFill>
              <a:prstDash val="sysDot"/>
              <a:headEnd type="arrow"/>
              <a:tailEnd type="arrow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47A041B-BF84-4A64-86BC-F0418F78B4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653E-48C8-82E1-EB751D059C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2B72ADF-A43C-4D87-BC45-46A52CDF7E2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653E-48C8-82E1-EB751D059C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7D0E705-7752-4B11-86FF-8DCEECA3D10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653E-48C8-82E1-EB751D059CAF}"/>
                </c:ext>
              </c:extLst>
            </c:dLbl>
            <c:spPr>
              <a:solidFill>
                <a:schemeClr val="bg1">
                  <a:alpha val="75000"/>
                </a:schemeClr>
              </a:solidFill>
              <a:ln>
                <a:noFill/>
              </a:ln>
              <a:effectLst/>
            </c:spPr>
            <c:txPr>
              <a:bodyPr vertOverflow="clip" horzOverflow="clip" wrap="none" lIns="0" tIns="0" rIns="0" bIns="0" anchor="ctr">
                <a:spAutoFit/>
              </a:bodyPr>
              <a:lstStyle/>
              <a:p>
                <a:pPr>
                  <a:defRPr sz="8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'Chart Data'!$AV$9:$AV$11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xVal>
          <c:yVal>
            <c:numRef>
              <c:f>'Chart Data'!$AW$9:$AW$11</c:f>
              <c:numCache>
                <c:formatCode>General</c:formatCode>
                <c:ptCount val="3"/>
                <c:pt idx="0">
                  <c:v>78106207.430224136</c:v>
                </c:pt>
                <c:pt idx="1">
                  <c:v>64053103.71511206</c:v>
                </c:pt>
                <c:pt idx="2">
                  <c:v>49999999.999999993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Data'!$AU$9:$AU$11</c15:f>
                <c15:dlblRangeCache>
                  <c:ptCount val="3"/>
                  <c:pt idx="1">
                    <c:v>SV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5-653E-48C8-82E1-EB751D059CAF}"/>
            </c:ext>
          </c:extLst>
        </c:ser>
        <c:ser>
          <c:idx val="11"/>
          <c:order val="11"/>
          <c:tx>
            <c:v>Actual Cost to Date</c:v>
          </c:tx>
          <c:spPr>
            <a:ln w="12700"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'Chart Data'!$S$3:$S$33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xVal>
          <c:yVal>
            <c:numRef>
              <c:f>'Chart Data'!$V$3:$V$33</c:f>
              <c:numCache>
                <c:formatCode>General</c:formatCode>
                <c:ptCount val="31"/>
                <c:pt idx="0">
                  <c:v>0</c:v>
                </c:pt>
                <c:pt idx="1">
                  <c:v>1421622.7547118734</c:v>
                </c:pt>
                <c:pt idx="2">
                  <c:v>3118418.5797024793</c:v>
                </c:pt>
                <c:pt idx="3">
                  <c:v>5134061.7544289101</c:v>
                </c:pt>
                <c:pt idx="4">
                  <c:v>7515012.0934158238</c:v>
                </c:pt>
                <c:pt idx="5">
                  <c:v>10308826.551028855</c:v>
                </c:pt>
                <c:pt idx="6">
                  <c:v>13561618.082506869</c:v>
                </c:pt>
                <c:pt idx="7">
                  <c:v>17314562.952971365</c:v>
                </c:pt>
                <c:pt idx="8">
                  <c:v>21599479.306924</c:v>
                </c:pt>
                <c:pt idx="9">
                  <c:v>26433696.950413063</c:v>
                </c:pt>
                <c:pt idx="10">
                  <c:v>31814701.237123687</c:v>
                </c:pt>
                <c:pt idx="11">
                  <c:v>37715317.687306345</c:v>
                </c:pt>
                <c:pt idx="12">
                  <c:v>44080421.651255101</c:v>
                </c:pt>
                <c:pt idx="13">
                  <c:v>50826193.926843315</c:v>
                </c:pt>
                <c:pt idx="14">
                  <c:v>57842697.729863882</c:v>
                </c:pt>
                <c:pt idx="15">
                  <c:v>64999999.999999985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653E-48C8-82E1-EB751D059CAF}"/>
            </c:ext>
          </c:extLst>
        </c:ser>
        <c:ser>
          <c:idx val="12"/>
          <c:order val="12"/>
          <c:tx>
            <c:v>Earned Value to Date</c:v>
          </c:tx>
          <c:spPr>
            <a:ln w="12700"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'Chart Data'!$S$3:$S$33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xVal>
          <c:yVal>
            <c:numRef>
              <c:f>'Chart Data'!$U$3:$U$33</c:f>
              <c:numCache>
                <c:formatCode>General</c:formatCode>
                <c:ptCount val="31"/>
                <c:pt idx="0">
                  <c:v>0</c:v>
                </c:pt>
                <c:pt idx="1">
                  <c:v>1478455.6243997603</c:v>
                </c:pt>
                <c:pt idx="2">
                  <c:v>3174155.8634039946</c:v>
                </c:pt>
                <c:pt idx="3">
                  <c:v>5109699.1571174189</c:v>
                </c:pt>
                <c:pt idx="4">
                  <c:v>7306928.251828202</c:v>
                </c:pt>
                <c:pt idx="5">
                  <c:v>9785751.0093946029</c:v>
                </c:pt>
                <c:pt idx="6">
                  <c:v>12562701.762166522</c:v>
                </c:pt>
                <c:pt idx="7">
                  <c:v>15649287.697149307</c:v>
                </c:pt>
                <c:pt idx="8">
                  <c:v>19050213.950931884</c:v>
                </c:pt>
                <c:pt idx="9">
                  <c:v>22761636.822139148</c:v>
                </c:pt>
                <c:pt idx="10">
                  <c:v>26769647.004476327</c:v>
                </c:pt>
                <c:pt idx="11">
                  <c:v>31049219.71925937</c:v>
                </c:pt>
                <c:pt idx="12">
                  <c:v>35563869.744324185</c:v>
                </c:pt>
                <c:pt idx="13">
                  <c:v>40266203.122053586</c:v>
                </c:pt>
                <c:pt idx="14">
                  <c:v>45099459.51346156</c:v>
                </c:pt>
                <c:pt idx="15">
                  <c:v>49999999.999999993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653E-48C8-82E1-EB751D059CAF}"/>
            </c:ext>
          </c:extLst>
        </c:ser>
        <c:ser>
          <c:idx val="14"/>
          <c:order val="14"/>
          <c:tx>
            <c:v>Future Actual Costs (Unknown)</c:v>
          </c:tx>
          <c:spPr>
            <a:ln w="12700" cmpd="tri">
              <a:solidFill>
                <a:schemeClr val="accent3">
                  <a:lumMod val="50000"/>
                </a:schemeClr>
              </a:solidFill>
              <a:prstDash val="sysDot"/>
            </a:ln>
          </c:spPr>
          <c:marker>
            <c:symbol val="none"/>
          </c:marker>
          <c:xVal>
            <c:numRef>
              <c:f>'Chart Data'!$W$3:$W$33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'Chart Data'!$Z$3:$Z$33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64999999.999999985</c:v>
                </c:pt>
                <c:pt idx="16">
                  <c:v>72157302.270136088</c:v>
                </c:pt>
                <c:pt idx="17">
                  <c:v>79173806.073156655</c:v>
                </c:pt>
                <c:pt idx="18">
                  <c:v>85919578.348744884</c:v>
                </c:pt>
                <c:pt idx="19">
                  <c:v>92284682.312693626</c:v>
                </c:pt>
                <c:pt idx="20">
                  <c:v>98185298.762876287</c:v>
                </c:pt>
                <c:pt idx="21">
                  <c:v>103566303.04958689</c:v>
                </c:pt>
                <c:pt idx="22">
                  <c:v>108400520.69307597</c:v>
                </c:pt>
                <c:pt idx="23">
                  <c:v>112685437.04702863</c:v>
                </c:pt>
                <c:pt idx="24">
                  <c:v>116438381.91749313</c:v>
                </c:pt>
                <c:pt idx="25">
                  <c:v>119691173.44897111</c:v>
                </c:pt>
                <c:pt idx="26">
                  <c:v>122484987.90658414</c:v>
                </c:pt>
                <c:pt idx="27">
                  <c:v>124865938.24557108</c:v>
                </c:pt>
                <c:pt idx="28">
                  <c:v>126881581.42029749</c:v>
                </c:pt>
                <c:pt idx="29">
                  <c:v>128578377.24528812</c:v>
                </c:pt>
                <c:pt idx="30">
                  <c:v>130000000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653E-48C8-82E1-EB751D059CAF}"/>
            </c:ext>
          </c:extLst>
        </c:ser>
        <c:ser>
          <c:idx val="15"/>
          <c:order val="15"/>
          <c:tx>
            <c:v>Future Earned Value (Unknown)</c:v>
          </c:tx>
          <c:spPr>
            <a:ln w="12700">
              <a:solidFill>
                <a:schemeClr val="tx2"/>
              </a:solidFill>
              <a:prstDash val="sysDot"/>
            </a:ln>
          </c:spPr>
          <c:marker>
            <c:symbol val="none"/>
          </c:marker>
          <c:xVal>
            <c:numRef>
              <c:f>'Chart Data'!$W$3:$W$33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'Chart Data'!$Y$3:$Y$33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49999999.999999993</c:v>
                </c:pt>
                <c:pt idx="16">
                  <c:v>54900540.486538425</c:v>
                </c:pt>
                <c:pt idx="17">
                  <c:v>59733796.877946407</c:v>
                </c:pt>
                <c:pt idx="18">
                  <c:v>64436130.2556758</c:v>
                </c:pt>
                <c:pt idx="19">
                  <c:v>68950780.280740604</c:v>
                </c:pt>
                <c:pt idx="20">
                  <c:v>73230352.995523646</c:v>
                </c:pt>
                <c:pt idx="21">
                  <c:v>77238363.177860841</c:v>
                </c:pt>
                <c:pt idx="22">
                  <c:v>80949786.049068078</c:v>
                </c:pt>
                <c:pt idx="23">
                  <c:v>84350712.302850679</c:v>
                </c:pt>
                <c:pt idx="24">
                  <c:v>87437298.23783347</c:v>
                </c:pt>
                <c:pt idx="25">
                  <c:v>90214248.990605384</c:v>
                </c:pt>
                <c:pt idx="26">
                  <c:v>92693071.748171791</c:v>
                </c:pt>
                <c:pt idx="27">
                  <c:v>94890300.842882559</c:v>
                </c:pt>
                <c:pt idx="28">
                  <c:v>96825844.136595994</c:v>
                </c:pt>
                <c:pt idx="29">
                  <c:v>98521544.375600234</c:v>
                </c:pt>
                <c:pt idx="30">
                  <c:v>100000000.00000001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653E-48C8-82E1-EB751D059CAF}"/>
            </c:ext>
          </c:extLst>
        </c:ser>
        <c:ser>
          <c:idx val="16"/>
          <c:order val="16"/>
          <c:tx>
            <c:strRef>
              <c:f>'Chart Data'!$BG$11</c:f>
              <c:strCache>
                <c:ptCount val="1"/>
                <c:pt idx="0">
                  <c:v>Post-BCP</c:v>
                </c:pt>
              </c:strCache>
            </c:strRef>
          </c:tx>
          <c:spPr>
            <a:ln w="19050">
              <a:prstDash val="lg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2F-653E-48C8-82E1-EB751D059CA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653E-48C8-82E1-EB751D059CA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653E-48C8-82E1-EB751D059CA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2-653E-48C8-82E1-EB751D059CA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030459DE-7C5D-41E5-8928-322709D423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3-653E-48C8-82E1-EB751D059CA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8ECCA54-FF6B-43EF-97DF-E2E6E62B5F5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4-653E-48C8-82E1-EB751D059CA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429E22B-2B35-4CE1-A610-658C3931F28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5-653E-48C8-82E1-EB751D059CA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6-653E-48C8-82E1-EB751D059CA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F3BD-4BF9-9C34-A80B70B5F4E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B0E09FF-8FDE-4325-81CB-633C8ED09F6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l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F3BD-4BF9-9C34-A80B70B5F4E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E897D107-C240-4C96-8C75-9851420AEA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3BD-4BF9-9C34-A80B70B5F4E4}"/>
                </c:ext>
              </c:extLst>
            </c:dLbl>
            <c:dLbl>
              <c:idx val="11"/>
              <c:tx>
                <c:rich>
                  <a:bodyPr rot="5400000" vert="horz" wrap="square" lIns="38100" tIns="19050" rIns="38100" bIns="19050" anchor="ctr" anchorCtr="0">
                    <a:spAutoFit/>
                  </a:bodyPr>
                  <a:lstStyle/>
                  <a:p>
                    <a:pPr algn="ctr">
                      <a:defRPr lang="en-US" sz="1100" b="0" i="0" u="none" strike="noStrike" kern="1200" baseline="0">
                        <a:solidFill>
                          <a:schemeClr val="tx1"/>
                        </a:solidFill>
                        <a:latin typeface="Arial Nova Light" panose="020B0304020202020204" pitchFamily="34" charset="0"/>
                        <a:ea typeface="+mn-ea"/>
                        <a:cs typeface="+mn-cs"/>
                      </a:defRPr>
                    </a:pPr>
                    <a:fld id="{22F3B99B-FC99-4C4F-A271-638564DCE3CC}" type="CELLRANGE">
                      <a:rPr lang="en-US"/>
                      <a:pPr algn="ctr">
                        <a:defRPr lang="en-US" sz="1100" b="0" i="0" u="none" strike="noStrike" kern="1200" baseline="0">
                          <a:solidFill>
                            <a:schemeClr val="tx1"/>
                          </a:solidFill>
                          <a:latin typeface="Arial Nova Light" panose="020B0304020202020204" pitchFamily="34" charset="0"/>
                          <a:ea typeface="+mn-ea"/>
                          <a:cs typeface="+mn-cs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3BD-4BF9-9C34-A80B70B5F4E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46457EB-CC9C-4B19-B017-0EA22AC81E1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3BD-4BF9-9C34-A80B70B5F4E4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1100" b="0" i="0" u="none" strike="noStrike" kern="1200" baseline="0">
                    <a:solidFill>
                      <a:schemeClr val="tx1"/>
                    </a:solidFill>
                    <a:latin typeface="Arial Nova Light" panose="020B0304020202020204" pitchFamily="34" charset="0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</c:ext>
            </c:extLst>
          </c:dLbls>
          <c:xVal>
            <c:numRef>
              <c:f>'Chart Data'!$BH$3:$BH$15</c:f>
              <c:numCache>
                <c:formatCode>General</c:formatCode>
                <c:ptCount val="13"/>
                <c:pt idx="4">
                  <c:v>24</c:v>
                </c:pt>
                <c:pt idx="5">
                  <c:v>27</c:v>
                </c:pt>
                <c:pt idx="6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</c:numCache>
            </c:numRef>
          </c:xVal>
          <c:yVal>
            <c:numRef>
              <c:f>'Chart Data'!$BI$3:$BI$15</c:f>
              <c:numCache>
                <c:formatCode>_("$"* #,##0_);_("$"* \(#,##0\);_("$"* "-"??_);_(@_)</c:formatCode>
                <c:ptCount val="13"/>
                <c:pt idx="4">
                  <c:v>100000000</c:v>
                </c:pt>
                <c:pt idx="5">
                  <c:v>112500000</c:v>
                </c:pt>
                <c:pt idx="6">
                  <c:v>125000000</c:v>
                </c:pt>
                <c:pt idx="9">
                  <c:v>125000000</c:v>
                </c:pt>
                <c:pt idx="10">
                  <c:v>125000000</c:v>
                </c:pt>
                <c:pt idx="11">
                  <c:v>62500000</c:v>
                </c:pt>
                <c:pt idx="12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Data'!$BG$3:$BG$15</c15:f>
                <c15:dlblRangeCache>
                  <c:ptCount val="13"/>
                  <c:pt idx="3">
                    <c:v>Re-baselining</c:v>
                  </c:pt>
                  <c:pt idx="5">
                    <c:v>Re-baselining</c:v>
                  </c:pt>
                  <c:pt idx="8">
                    <c:v>Post-BCP</c:v>
                  </c:pt>
                  <c:pt idx="9">
                    <c:v>Post-BCP Baseline</c:v>
                  </c:pt>
                  <c:pt idx="11">
                    <c:v>Post BCP Planned Duration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A-653E-48C8-82E1-EB751D059CAF}"/>
            </c:ext>
          </c:extLst>
        </c:ser>
        <c:ser>
          <c:idx val="17"/>
          <c:order val="17"/>
          <c:tx>
            <c:strRef>
              <c:f>'Chart Data'!$AD$2</c:f>
              <c:strCache>
                <c:ptCount val="1"/>
                <c:pt idx="0">
                  <c:v>BCP PV</c:v>
                </c:pt>
              </c:strCache>
            </c:strRef>
          </c:tx>
          <c:spPr>
            <a:ln w="1905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'Chart Data'!$AA$3:$AA$33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xVal>
          <c:yVal>
            <c:numRef>
              <c:f>'Chart Data'!$AD$3:$AD$33</c:f>
              <c:numCache>
                <c:formatCode>_("$"* #,##0_);_("$"* \(#,##0\);_("$"* "-"??_);_(@_)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44080421.651255101</c:v>
                </c:pt>
                <c:pt idx="13">
                  <c:v>51665235.566805661</c:v>
                </c:pt>
                <c:pt idx="14">
                  <c:v>60915401.227426499</c:v>
                </c:pt>
                <c:pt idx="15">
                  <c:v>71348916.051182762</c:v>
                </c:pt>
                <c:pt idx="16">
                  <c:v>82129286.211237311</c:v>
                </c:pt>
                <c:pt idx="17">
                  <c:v>92304612.230001092</c:v>
                </c:pt>
                <c:pt idx="18">
                  <c:v>101120945.45818311</c:v>
                </c:pt>
                <c:pt idx="19">
                  <c:v>108210800.69181137</c:v>
                </c:pt>
                <c:pt idx="20">
                  <c:v>113578052.92567754</c:v>
                </c:pt>
                <c:pt idx="21">
                  <c:v>117458322.13936898</c:v>
                </c:pt>
                <c:pt idx="22">
                  <c:v>120171120.7299912</c:v>
                </c:pt>
                <c:pt idx="23">
                  <c:v>122023572.79508109</c:v>
                </c:pt>
                <c:pt idx="24">
                  <c:v>123268280.38075921</c:v>
                </c:pt>
                <c:pt idx="25">
                  <c:v>124095585.4476005</c:v>
                </c:pt>
                <c:pt idx="26">
                  <c:v>124641493.87021372</c:v>
                </c:pt>
                <c:pt idx="27">
                  <c:v>125000000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653E-48C8-82E1-EB751D059C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809807"/>
        <c:axId val="1052780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Actual Cost</c:v>
                </c:tx>
                <c:spPr>
                  <a:ln w="12700">
                    <a:solidFill>
                      <a:schemeClr val="accent3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'Chart Data'!$L$3:$L$33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1421622.7547118734</c:v>
                      </c:pt>
                      <c:pt idx="2">
                        <c:v>3118418.5797024793</c:v>
                      </c:pt>
                      <c:pt idx="3">
                        <c:v>5134061.7544289101</c:v>
                      </c:pt>
                      <c:pt idx="4">
                        <c:v>7515012.0934158238</c:v>
                      </c:pt>
                      <c:pt idx="5">
                        <c:v>10308826.551028855</c:v>
                      </c:pt>
                      <c:pt idx="6">
                        <c:v>13561618.082506869</c:v>
                      </c:pt>
                      <c:pt idx="7">
                        <c:v>17314562.952971365</c:v>
                      </c:pt>
                      <c:pt idx="8">
                        <c:v>21599479.306924</c:v>
                      </c:pt>
                      <c:pt idx="9">
                        <c:v>26433696.950413063</c:v>
                      </c:pt>
                      <c:pt idx="10">
                        <c:v>31814701.237123687</c:v>
                      </c:pt>
                      <c:pt idx="11">
                        <c:v>37715317.687306345</c:v>
                      </c:pt>
                      <c:pt idx="12">
                        <c:v>44080421.651255101</c:v>
                      </c:pt>
                      <c:pt idx="13">
                        <c:v>50826193.926843315</c:v>
                      </c:pt>
                      <c:pt idx="14">
                        <c:v>57842697.729863882</c:v>
                      </c:pt>
                      <c:pt idx="15">
                        <c:v>64999999.999999985</c:v>
                      </c:pt>
                      <c:pt idx="16">
                        <c:v>72157302.270136088</c:v>
                      </c:pt>
                      <c:pt idx="17">
                        <c:v>79173806.073156655</c:v>
                      </c:pt>
                      <c:pt idx="18">
                        <c:v>85919578.348744884</c:v>
                      </c:pt>
                      <c:pt idx="19">
                        <c:v>92284682.312693626</c:v>
                      </c:pt>
                      <c:pt idx="20">
                        <c:v>98185298.762876287</c:v>
                      </c:pt>
                      <c:pt idx="21">
                        <c:v>103566303.04958689</c:v>
                      </c:pt>
                      <c:pt idx="22">
                        <c:v>108400520.69307597</c:v>
                      </c:pt>
                      <c:pt idx="23">
                        <c:v>112685437.04702863</c:v>
                      </c:pt>
                      <c:pt idx="24">
                        <c:v>116438381.91749313</c:v>
                      </c:pt>
                      <c:pt idx="25">
                        <c:v>119691173.44897111</c:v>
                      </c:pt>
                      <c:pt idx="26" formatCode="General">
                        <c:v>122484987.90658414</c:v>
                      </c:pt>
                      <c:pt idx="27" formatCode="General">
                        <c:v>124865938.24557108</c:v>
                      </c:pt>
                      <c:pt idx="28" formatCode="General">
                        <c:v>126881581.42029749</c:v>
                      </c:pt>
                      <c:pt idx="29" formatCode="General">
                        <c:v>128578377.24528812</c:v>
                      </c:pt>
                      <c:pt idx="30" formatCode="General">
                        <c:v>130000000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2C-653E-48C8-82E1-EB751D059CAF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Earned Value</c:v>
                </c:tx>
                <c:spPr>
                  <a:ln w="12700"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Data'!$K$3:$K$33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1478455.6243997603</c:v>
                      </c:pt>
                      <c:pt idx="2">
                        <c:v>3174155.8634039946</c:v>
                      </c:pt>
                      <c:pt idx="3">
                        <c:v>5109699.1571174189</c:v>
                      </c:pt>
                      <c:pt idx="4">
                        <c:v>7306928.251828202</c:v>
                      </c:pt>
                      <c:pt idx="5">
                        <c:v>9785751.0093946029</c:v>
                      </c:pt>
                      <c:pt idx="6">
                        <c:v>12562701.762166522</c:v>
                      </c:pt>
                      <c:pt idx="7">
                        <c:v>15649287.697149307</c:v>
                      </c:pt>
                      <c:pt idx="8">
                        <c:v>19050213.950931884</c:v>
                      </c:pt>
                      <c:pt idx="9">
                        <c:v>22761636.822139148</c:v>
                      </c:pt>
                      <c:pt idx="10">
                        <c:v>26769647.004476327</c:v>
                      </c:pt>
                      <c:pt idx="11">
                        <c:v>31049219.71925937</c:v>
                      </c:pt>
                      <c:pt idx="12">
                        <c:v>35563869.744324185</c:v>
                      </c:pt>
                      <c:pt idx="13">
                        <c:v>40266203.122053586</c:v>
                      </c:pt>
                      <c:pt idx="14">
                        <c:v>45099459.51346156</c:v>
                      </c:pt>
                      <c:pt idx="15">
                        <c:v>49999999.999999993</c:v>
                      </c:pt>
                      <c:pt idx="16">
                        <c:v>54900540.486538425</c:v>
                      </c:pt>
                      <c:pt idx="17">
                        <c:v>59733796.877946407</c:v>
                      </c:pt>
                      <c:pt idx="18">
                        <c:v>64436130.2556758</c:v>
                      </c:pt>
                      <c:pt idx="19">
                        <c:v>68950780.280740604</c:v>
                      </c:pt>
                      <c:pt idx="20">
                        <c:v>73230352.995523646</c:v>
                      </c:pt>
                      <c:pt idx="21">
                        <c:v>77238363.177860841</c:v>
                      </c:pt>
                      <c:pt idx="22">
                        <c:v>80949786.049068078</c:v>
                      </c:pt>
                      <c:pt idx="23">
                        <c:v>84350712.302850679</c:v>
                      </c:pt>
                      <c:pt idx="24">
                        <c:v>87437298.23783347</c:v>
                      </c:pt>
                      <c:pt idx="25">
                        <c:v>90214248.990605384</c:v>
                      </c:pt>
                      <c:pt idx="26">
                        <c:v>92693071.748171791</c:v>
                      </c:pt>
                      <c:pt idx="27">
                        <c:v>94890300.842882559</c:v>
                      </c:pt>
                      <c:pt idx="28">
                        <c:v>96825844.136595994</c:v>
                      </c:pt>
                      <c:pt idx="29">
                        <c:v>98521544.375600234</c:v>
                      </c:pt>
                      <c:pt idx="30">
                        <c:v>100000000.00000001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D-653E-48C8-82E1-EB751D059CAF}"/>
                  </c:ext>
                </c:extLst>
              </c15:ser>
            </c15:filteredScatterSeries>
            <c15:filteredScatterSeries>
              <c15:ser>
                <c:idx val="13"/>
                <c:order val="13"/>
                <c:tx>
                  <c:v>Planned Value to Date</c:v>
                </c:tx>
                <c:spPr>
                  <a:ln w="12700">
                    <a:solidFill>
                      <a:srgbClr val="C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Data'!$S$3:$S$33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Data'!$T$3:$T$33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347097.34666395112</c:v>
                      </c:pt>
                      <c:pt idx="2">
                        <c:v>869063.31807220192</c:v>
                      </c:pt>
                      <c:pt idx="3">
                        <c:v>1650545.6099969603</c:v>
                      </c:pt>
                      <c:pt idx="4">
                        <c:v>2812886.9401066336</c:v>
                      </c:pt>
                      <c:pt idx="5">
                        <c:v>4524862.6818683473</c:v>
                      </c:pt>
                      <c:pt idx="6">
                        <c:v>7010371.6545108147</c:v>
                      </c:pt>
                      <c:pt idx="7">
                        <c:v>10544593.489371434</c:v>
                      </c:pt>
                      <c:pt idx="8">
                        <c:v>15424087.634018205</c:v>
                      </c:pt>
                      <c:pt idx="9">
                        <c:v>21893792.569775846</c:v>
                      </c:pt>
                      <c:pt idx="10">
                        <c:v>30026715.167758327</c:v>
                      </c:pt>
                      <c:pt idx="11">
                        <c:v>39592149.822794147</c:v>
                      </c:pt>
                      <c:pt idx="12">
                        <c:v>49999999.999999993</c:v>
                      </c:pt>
                      <c:pt idx="13">
                        <c:v>60407850.177205808</c:v>
                      </c:pt>
                      <c:pt idx="14">
                        <c:v>69973284.832241684</c:v>
                      </c:pt>
                      <c:pt idx="15">
                        <c:v>78106207.430224136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2E-653E-48C8-82E1-EB751D059CAF}"/>
                  </c:ext>
                </c:extLst>
              </c15:ser>
            </c15:filteredScatterSeries>
          </c:ext>
        </c:extLst>
      </c:scatterChart>
      <c:valAx>
        <c:axId val="105280980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80527"/>
        <c:crosses val="autoZero"/>
        <c:crossBetween val="midCat"/>
      </c:valAx>
      <c:valAx>
        <c:axId val="10527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809807"/>
        <c:crosses val="autoZero"/>
        <c:crossBetween val="midCat"/>
      </c:valAx>
      <c:spPr>
        <a:solidFill>
          <a:schemeClr val="bg1"/>
        </a:solidFill>
      </c:spPr>
    </c:plotArea>
    <c:legend>
      <c:legendPos val="b"/>
      <c:layout>
        <c:manualLayout>
          <c:xMode val="edge"/>
          <c:yMode val="edge"/>
          <c:x val="0.19795414034784115"/>
          <c:y val="0.88114417542595858"/>
          <c:w val="0.70614876986530528"/>
          <c:h val="0.1188558182882678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EVM Concepts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4159719099511103"/>
          <c:y val="6.7201727724733831E-2"/>
          <c:w val="0.81820575992006728"/>
          <c:h val="0.76956862351179955"/>
        </c:manualLayout>
      </c:layout>
      <c:scatterChart>
        <c:scatterStyle val="lineMarker"/>
        <c:varyColors val="0"/>
        <c:ser>
          <c:idx val="5"/>
          <c:order val="2"/>
          <c:tx>
            <c:v>Earned Schedule</c:v>
          </c:tx>
          <c:spPr>
            <a:ln w="19050">
              <a:solidFill>
                <a:schemeClr val="accent1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4FCF398E-D8E0-4A90-B919-2AE87405E4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5934-4455-99EC-226BB1DBDDC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03E6F51-213E-4C4D-B9F5-8100037AD0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5934-4455-99EC-226BB1DBDD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3F1E0DF-FD7F-454A-AF96-BD78E1CE423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5934-4455-99EC-226BB1DBDDCA}"/>
                </c:ext>
              </c:extLst>
            </c:dLbl>
            <c:dLbl>
              <c:idx val="3"/>
              <c:tx>
                <c:rich>
                  <a:bodyPr rot="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8481BE99-FB07-4E30-9EEE-44A56799D9A4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numFmt formatCode="#,##0" sourceLinked="0"/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5934-4455-99EC-226BB1DBDDCA}"/>
                </c:ext>
              </c:extLst>
            </c:dLbl>
            <c:dLbl>
              <c:idx val="4"/>
              <c:numFmt formatCode="#,##0" sourceLinked="0"/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 sz="1100">
                      <a:latin typeface="Arial Nova Light" panose="020B0304020202020204" pitchFamily="34" charset="0"/>
                    </a:defRPr>
                  </a:pPr>
                  <a:endParaRPr lang="en-US"/>
                </a:p>
              </c:txPr>
              <c:dLblPos val="b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0D39-490E-9E9F-4E0C71BF4CFD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Data'!$AZ$3:$AZ$7</c:f>
              <c:numCache>
                <c:formatCode>General</c:formatCode>
                <c:ptCount val="5"/>
                <c:pt idx="0">
                  <c:v>0</c:v>
                </c:pt>
                <c:pt idx="1">
                  <c:v>7.5</c:v>
                </c:pt>
                <c:pt idx="2" formatCode="0.00">
                  <c:v>12</c:v>
                </c:pt>
                <c:pt idx="3" formatCode="0.00">
                  <c:v>12</c:v>
                </c:pt>
                <c:pt idx="4" formatCode="0.00">
                  <c:v>12</c:v>
                </c:pt>
              </c:numCache>
            </c:numRef>
          </c:xVal>
          <c:yVal>
            <c:numRef>
              <c:f>'Chart Data'!$BA$3:$BA$7</c:f>
              <c:numCache>
                <c:formatCode>General</c:formatCode>
                <c:ptCount val="5"/>
                <c:pt idx="0">
                  <c:v>49999999.999999993</c:v>
                </c:pt>
                <c:pt idx="1">
                  <c:v>49999999.999999993</c:v>
                </c:pt>
                <c:pt idx="2">
                  <c:v>49999999.999999993</c:v>
                </c:pt>
                <c:pt idx="3">
                  <c:v>16000000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Data'!$AY$3:$AY$6</c15:f>
                <c15:dlblRangeCache>
                  <c:ptCount val="4"/>
                  <c:pt idx="1">
                    <c:v>Earned Value to Date</c:v>
                  </c:pt>
                  <c:pt idx="3">
                    <c:v>Earned Schedule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D-5934-4455-99EC-226BB1DBDDCA}"/>
            </c:ext>
          </c:extLst>
        </c:ser>
        <c:ser>
          <c:idx val="10"/>
          <c:order val="3"/>
          <c:tx>
            <c:strRef>
              <c:f>'Chart Data'!$AQ$17</c:f>
              <c:strCache>
                <c:ptCount val="1"/>
                <c:pt idx="0">
                  <c:v>Cumulative Planned Value</c:v>
                </c:pt>
              </c:strCache>
            </c:strRef>
          </c:tx>
          <c:spPr>
            <a:ln w="19050">
              <a:solidFill>
                <a:srgbClr val="FF0000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31FA55E0-9CD8-4DE9-B7DF-86A2BA70EC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5934-4455-99EC-226BB1DBDDCA}"/>
                </c:ext>
              </c:extLst>
            </c:dLbl>
            <c:dLbl>
              <c:idx val="1"/>
              <c:tx>
                <c:rich>
                  <a:bodyPr vertOverflow="overflow" horzOverflow="overflow" wrap="none" lIns="0" tIns="0" rIns="0" bIns="0" anchor="ctr">
                    <a:no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EB024254-81F1-4D20-BFA0-2D3F038F0CF3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911990337277702"/>
                      <c:h val="3.8307623258198135E-2"/>
                    </c:manualLayout>
                  </c15:layout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5934-4455-99EC-226BB1DBDD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70087C0-1495-4B23-B36E-C198C24339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5934-4455-99EC-226BB1DBDD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Data'!$AR$19:$AR$21</c:f>
              <c:numCache>
                <c:formatCode>General</c:formatCode>
                <c:ptCount val="3"/>
                <c:pt idx="0">
                  <c:v>0</c:v>
                </c:pt>
                <c:pt idx="1">
                  <c:v>7.5</c:v>
                </c:pt>
                <c:pt idx="2" formatCode="0.00">
                  <c:v>15</c:v>
                </c:pt>
              </c:numCache>
            </c:numRef>
          </c:xVal>
          <c:yVal>
            <c:numRef>
              <c:f>'Chart Data'!$AS$19:$AS$21</c:f>
              <c:numCache>
                <c:formatCode>General</c:formatCode>
                <c:ptCount val="3"/>
                <c:pt idx="0">
                  <c:v>78106207.430224136</c:v>
                </c:pt>
                <c:pt idx="1">
                  <c:v>78106207.430224136</c:v>
                </c:pt>
                <c:pt idx="2">
                  <c:v>78106207.430224136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Data'!$AQ$19:$AQ$21</c15:f>
                <c15:dlblRangeCache>
                  <c:ptCount val="3"/>
                  <c:pt idx="1">
                    <c:v>Planned Value to Date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5934-4455-99EC-226BB1DBDDCA}"/>
            </c:ext>
          </c:extLst>
        </c:ser>
        <c:ser>
          <c:idx val="6"/>
          <c:order val="4"/>
          <c:tx>
            <c:v>EV(Now)=PV(ES)</c:v>
          </c:tx>
          <c:spPr>
            <a:ln w="25400">
              <a:solidFill>
                <a:schemeClr val="tx1"/>
              </a:solidFill>
              <a:tailEnd type="triangle"/>
            </a:ln>
          </c:spPr>
          <c:marker>
            <c:symbol val="none"/>
          </c:marker>
          <c:xVal>
            <c:numRef>
              <c:f>'Chart Data'!$AZ$11:$AZ$12</c:f>
              <c:numCache>
                <c:formatCode>General</c:formatCode>
                <c:ptCount val="2"/>
                <c:pt idx="0">
                  <c:v>15</c:v>
                </c:pt>
                <c:pt idx="1">
                  <c:v>12</c:v>
                </c:pt>
              </c:numCache>
            </c:numRef>
          </c:xVal>
          <c:yVal>
            <c:numRef>
              <c:f>'Chart Data'!$BA$11:$BA$12</c:f>
              <c:numCache>
                <c:formatCode>General</c:formatCode>
                <c:ptCount val="2"/>
                <c:pt idx="0">
                  <c:v>46999999.999999993</c:v>
                </c:pt>
                <c:pt idx="1">
                  <c:v>46999999.999999993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5934-4455-99EC-226BB1DBDDCA}"/>
            </c:ext>
          </c:extLst>
        </c:ser>
        <c:ser>
          <c:idx val="3"/>
          <c:order val="5"/>
          <c:tx>
            <c:v>Baseline</c:v>
          </c:tx>
          <c:spPr>
            <a:ln w="19050">
              <a:solidFill>
                <a:srgbClr val="FF000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B3EF6BFF-DBCB-4B68-A980-E605CDF6B3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5934-4455-99EC-226BB1DBDDCA}"/>
                </c:ext>
              </c:extLst>
            </c:dLbl>
            <c:dLbl>
              <c:idx val="1"/>
              <c:tx>
                <c:rich>
                  <a:bodyPr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A60D6F03-8124-4818-97D6-1A003BD335A5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99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5934-4455-99EC-226BB1DBDD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ECD224E-A6E5-4A2F-BF8C-7F16634B39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5934-4455-99EC-226BB1DBDDCA}"/>
                </c:ext>
              </c:extLst>
            </c:dLbl>
            <c:dLbl>
              <c:idx val="3"/>
              <c:tx>
                <c:rich>
                  <a:bodyPr rot="5400000" vertOverflow="clip" horzOverflow="clip" vert="horz" wrap="square" lIns="38100" tIns="19050" rIns="38100" bIns="19050" anchor="t" anchorCtr="0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8CFD8716-7C93-4A47-A2F1-DC347519D3AC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5934-4455-99EC-226BB1DBDDCA}"/>
                </c:ext>
              </c:extLst>
            </c:dLbl>
            <c:dLbl>
              <c:idx val="4"/>
              <c:tx>
                <c:rich>
                  <a:bodyPr rot="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5934-4455-99EC-226BB1DBDDCA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Data'!$AN$3:$AN$7</c:f>
              <c:numCache>
                <c:formatCode>General</c:formatCode>
                <c:ptCount val="5"/>
                <c:pt idx="0">
                  <c:v>0</c:v>
                </c:pt>
                <c:pt idx="1">
                  <c:v>12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</c:numCache>
            </c:numRef>
          </c:xVal>
          <c:yVal>
            <c:numRef>
              <c:f>'Chart Data'!$AO$3:$AO$7</c:f>
              <c:numCache>
                <c:formatCode>_("$"* #,##0_);_("$"* \(#,##0\);_("$"* "-"??_);_(@_)</c:formatCode>
                <c:ptCount val="5"/>
                <c:pt idx="0">
                  <c:v>100000000</c:v>
                </c:pt>
                <c:pt idx="1">
                  <c:v>100000000</c:v>
                </c:pt>
                <c:pt idx="2">
                  <c:v>100000000</c:v>
                </c:pt>
                <c:pt idx="3">
                  <c:v>50000000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Data'!$AM$3:$AM$6</c15:f>
                <c15:dlblRangeCache>
                  <c:ptCount val="4"/>
                  <c:pt idx="1">
                    <c:v>Budget At Completion</c:v>
                  </c:pt>
                  <c:pt idx="3">
                    <c:v>Planned Completion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8-5934-4455-99EC-226BB1DBDDCA}"/>
            </c:ext>
          </c:extLst>
        </c:ser>
        <c:ser>
          <c:idx val="8"/>
          <c:order val="6"/>
          <c:tx>
            <c:strRef>
              <c:f>'Chart Data'!$AU$1</c:f>
              <c:strCache>
                <c:ptCount val="1"/>
                <c:pt idx="0">
                  <c:v>Cost Variance</c:v>
                </c:pt>
              </c:strCache>
            </c:strRef>
          </c:tx>
          <c:spPr>
            <a:ln w="12700">
              <a:solidFill>
                <a:schemeClr val="tx1"/>
              </a:solidFill>
              <a:prstDash val="sysDot"/>
              <a:headEnd type="arrow"/>
              <a:tailEnd type="arrow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DB81AF23-9FA3-4CAE-BABE-9E5B6E41F26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5934-4455-99EC-226BB1DBDDC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52ED3CC-A4E9-4E07-879A-6C147021C6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5934-4455-99EC-226BB1DBDD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18F1FA6-4FCC-4903-8AC8-8EBBDBB995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5934-4455-99EC-226BB1DBDDCA}"/>
                </c:ext>
              </c:extLst>
            </c:dLbl>
            <c:spPr>
              <a:solidFill>
                <a:schemeClr val="bg1">
                  <a:alpha val="75000"/>
                </a:schemeClr>
              </a:solidFill>
              <a:ln>
                <a:noFill/>
              </a:ln>
              <a:effectLst/>
            </c:spPr>
            <c:txPr>
              <a:bodyPr vertOverflow="clip" horzOverflow="clip" wrap="none" lIns="0" tIns="0" rIns="0" bIns="0" anchor="ctr">
                <a:spAutoFit/>
              </a:bodyPr>
              <a:lstStyle/>
              <a:p>
                <a:pPr>
                  <a:defRPr sz="8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'Chart Data'!$AV$3:$AV$5</c:f>
              <c:numCache>
                <c:formatCode>General</c:formatCode>
                <c:ptCount val="3"/>
                <c:pt idx="0">
                  <c:v>1.5</c:v>
                </c:pt>
                <c:pt idx="1">
                  <c:v>1.5</c:v>
                </c:pt>
                <c:pt idx="2">
                  <c:v>1.5</c:v>
                </c:pt>
              </c:numCache>
            </c:numRef>
          </c:xVal>
          <c:yVal>
            <c:numRef>
              <c:f>'Chart Data'!$AW$3:$AW$5</c:f>
              <c:numCache>
                <c:formatCode>General</c:formatCode>
                <c:ptCount val="3"/>
                <c:pt idx="0">
                  <c:v>64999999.999999985</c:v>
                </c:pt>
                <c:pt idx="1">
                  <c:v>57499999.999999985</c:v>
                </c:pt>
                <c:pt idx="2">
                  <c:v>49999999.999999993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Data'!$AU$3:$AU$5</c15:f>
                <c15:dlblRangeCache>
                  <c:ptCount val="3"/>
                  <c:pt idx="1">
                    <c:v>CV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2-5934-4455-99EC-226BB1DBDDCA}"/>
            </c:ext>
          </c:extLst>
        </c:ser>
        <c:ser>
          <c:idx val="9"/>
          <c:order val="7"/>
          <c:tx>
            <c:strRef>
              <c:f>'Chart Data'!$AU$7</c:f>
              <c:strCache>
                <c:ptCount val="1"/>
                <c:pt idx="0">
                  <c:v>Schedule Variance</c:v>
                </c:pt>
              </c:strCache>
            </c:strRef>
          </c:tx>
          <c:spPr>
            <a:ln w="12700">
              <a:solidFill>
                <a:schemeClr val="tx1"/>
              </a:solidFill>
              <a:prstDash val="sysDot"/>
              <a:headEnd type="arrow"/>
              <a:tailEnd type="arrow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F0C96993-5941-449E-A777-CE9C57D097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5934-4455-99EC-226BB1DBDDC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484E05F-DF09-4605-A9C0-80E81656C6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5934-4455-99EC-226BB1DBDD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DDAD0137-75DC-4398-ACB1-7577179AA0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5934-4455-99EC-226BB1DBDDCA}"/>
                </c:ext>
              </c:extLst>
            </c:dLbl>
            <c:spPr>
              <a:solidFill>
                <a:schemeClr val="bg1">
                  <a:alpha val="75000"/>
                </a:schemeClr>
              </a:solidFill>
              <a:ln>
                <a:noFill/>
              </a:ln>
              <a:effectLst/>
            </c:spPr>
            <c:txPr>
              <a:bodyPr vertOverflow="clip" horzOverflow="clip" wrap="none" lIns="0" tIns="0" rIns="0" bIns="0" anchor="ctr">
                <a:spAutoFit/>
              </a:bodyPr>
              <a:lstStyle/>
              <a:p>
                <a:pPr>
                  <a:defRPr sz="8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'Chart Data'!$AV$9:$AV$11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3</c:v>
                </c:pt>
              </c:numCache>
            </c:numRef>
          </c:xVal>
          <c:yVal>
            <c:numRef>
              <c:f>'Chart Data'!$AW$9:$AW$11</c:f>
              <c:numCache>
                <c:formatCode>General</c:formatCode>
                <c:ptCount val="3"/>
                <c:pt idx="0">
                  <c:v>78106207.430224136</c:v>
                </c:pt>
                <c:pt idx="1">
                  <c:v>64053103.71511206</c:v>
                </c:pt>
                <c:pt idx="2">
                  <c:v>49999999.999999993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Data'!$AU$9:$AU$11</c15:f>
                <c15:dlblRangeCache>
                  <c:ptCount val="3"/>
                  <c:pt idx="1">
                    <c:v>SV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6-5934-4455-99EC-226BB1DBDDCA}"/>
            </c:ext>
          </c:extLst>
        </c:ser>
        <c:ser>
          <c:idx val="11"/>
          <c:order val="8"/>
          <c:tx>
            <c:v>Actual Cost to Date</c:v>
          </c:tx>
          <c:spPr>
            <a:ln w="12700">
              <a:solidFill>
                <a:schemeClr val="accent3"/>
              </a:solidFill>
            </a:ln>
          </c:spPr>
          <c:marker>
            <c:symbol val="none"/>
          </c:marker>
          <c:xVal>
            <c:numRef>
              <c:f>'Chart Data'!$S$3:$S$33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xVal>
          <c:yVal>
            <c:numRef>
              <c:f>'Chart Data'!$V$3:$V$33</c:f>
              <c:numCache>
                <c:formatCode>General</c:formatCode>
                <c:ptCount val="31"/>
                <c:pt idx="0">
                  <c:v>0</c:v>
                </c:pt>
                <c:pt idx="1">
                  <c:v>1421622.7547118734</c:v>
                </c:pt>
                <c:pt idx="2">
                  <c:v>3118418.5797024793</c:v>
                </c:pt>
                <c:pt idx="3">
                  <c:v>5134061.7544289101</c:v>
                </c:pt>
                <c:pt idx="4">
                  <c:v>7515012.0934158238</c:v>
                </c:pt>
                <c:pt idx="5">
                  <c:v>10308826.551028855</c:v>
                </c:pt>
                <c:pt idx="6">
                  <c:v>13561618.082506869</c:v>
                </c:pt>
                <c:pt idx="7">
                  <c:v>17314562.952971365</c:v>
                </c:pt>
                <c:pt idx="8">
                  <c:v>21599479.306924</c:v>
                </c:pt>
                <c:pt idx="9">
                  <c:v>26433696.950413063</c:v>
                </c:pt>
                <c:pt idx="10">
                  <c:v>31814701.237123687</c:v>
                </c:pt>
                <c:pt idx="11">
                  <c:v>37715317.687306345</c:v>
                </c:pt>
                <c:pt idx="12">
                  <c:v>44080421.651255101</c:v>
                </c:pt>
                <c:pt idx="13">
                  <c:v>50826193.926843315</c:v>
                </c:pt>
                <c:pt idx="14">
                  <c:v>57842697.729863882</c:v>
                </c:pt>
                <c:pt idx="15">
                  <c:v>64999999.999999985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C3-4807-83FB-2ED59984652B}"/>
            </c:ext>
          </c:extLst>
        </c:ser>
        <c:ser>
          <c:idx val="4"/>
          <c:order val="10"/>
          <c:tx>
            <c:v>Actual Now</c:v>
          </c:tx>
          <c:spPr>
            <a:ln w="19050">
              <a:solidFill>
                <a:schemeClr val="accent3"/>
              </a:solidFill>
              <a:prstDash val="sysDash"/>
            </a:ln>
          </c:spPr>
          <c:marker>
            <c:symbol val="none"/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934-4455-99EC-226BB1DBDDCA}"/>
                </c:ext>
              </c:extLst>
            </c:dLbl>
            <c:dLbl>
              <c:idx val="1"/>
              <c:tx>
                <c:rich>
                  <a:bodyPr wrap="none" lIns="0" tIns="0" rIns="0" bIns="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  <a:cs typeface="Arial" panose="020B0604020202020204" pitchFamily="34" charset="0"/>
                      </a:defRPr>
                    </a:pPr>
                    <a:fld id="{904BE28B-52DB-4436-84FA-318EF8BA0B8A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  <a:cs typeface="Arial" panose="020B06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934-4455-99EC-226BB1DBDDC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5934-4455-99EC-226BB1DBDDCA}"/>
                </c:ext>
              </c:extLst>
            </c:dLbl>
            <c:dLbl>
              <c:idx val="3"/>
              <c:tx>
                <c:rich>
                  <a:bodyPr rot="5400000" vert="horz" wrap="none" lIns="0" tIns="0" rIns="0" bIns="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76CE7A17-6700-4D53-BEC2-75BE44700BEF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5934-4455-99EC-226BB1DBDDCA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934-4455-99EC-226BB1DBDDCA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none" lIns="0" tIns="0" rIns="0" bIns="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'Chart Data'!$AR$3:$AR$7</c:f>
              <c:numCache>
                <c:formatCode>General</c:formatCode>
                <c:ptCount val="5"/>
                <c:pt idx="0">
                  <c:v>0</c:v>
                </c:pt>
                <c:pt idx="1">
                  <c:v>7.5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</c:numCache>
            </c:numRef>
          </c:xVal>
          <c:yVal>
            <c:numRef>
              <c:f>'Chart Data'!$AS$3:$AS$7</c:f>
              <c:numCache>
                <c:formatCode>General</c:formatCode>
                <c:ptCount val="5"/>
                <c:pt idx="0">
                  <c:v>64999999.999999985</c:v>
                </c:pt>
                <c:pt idx="1">
                  <c:v>64999999.999999985</c:v>
                </c:pt>
                <c:pt idx="2">
                  <c:v>64999999.999999985</c:v>
                </c:pt>
                <c:pt idx="3">
                  <c:v>16000000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Data'!$AQ$3:$AQ$7</c15:f>
                <c15:dlblRangeCache>
                  <c:ptCount val="5"/>
                  <c:pt idx="1">
                    <c:v>Actual Cost to Date</c:v>
                  </c:pt>
                  <c:pt idx="3">
                    <c:v>Status Date</c:v>
                  </c:pt>
                  <c:pt idx="4">
                    <c:v>15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5934-4455-99EC-226BB1DBDDCA}"/>
            </c:ext>
          </c:extLst>
        </c:ser>
        <c:ser>
          <c:idx val="14"/>
          <c:order val="11"/>
          <c:tx>
            <c:v>Future Actual Costs (Unknown)</c:v>
          </c:tx>
          <c:spPr>
            <a:ln w="12700" cmpd="tri">
              <a:solidFill>
                <a:schemeClr val="accent3">
                  <a:lumMod val="50000"/>
                </a:schemeClr>
              </a:solidFill>
              <a:prstDash val="sysDot"/>
            </a:ln>
          </c:spPr>
          <c:marker>
            <c:symbol val="none"/>
          </c:marker>
          <c:xVal>
            <c:numRef>
              <c:f>'Chart Data'!$W$3:$W$33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'Chart Data'!$Z$3:$Z$33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64999999.999999985</c:v>
                </c:pt>
                <c:pt idx="16">
                  <c:v>72157302.270136088</c:v>
                </c:pt>
                <c:pt idx="17">
                  <c:v>79173806.073156655</c:v>
                </c:pt>
                <c:pt idx="18">
                  <c:v>85919578.348744884</c:v>
                </c:pt>
                <c:pt idx="19">
                  <c:v>92284682.312693626</c:v>
                </c:pt>
                <c:pt idx="20">
                  <c:v>98185298.762876287</c:v>
                </c:pt>
                <c:pt idx="21">
                  <c:v>103566303.04958689</c:v>
                </c:pt>
                <c:pt idx="22">
                  <c:v>108400520.69307597</c:v>
                </c:pt>
                <c:pt idx="23">
                  <c:v>112685437.04702863</c:v>
                </c:pt>
                <c:pt idx="24">
                  <c:v>116438381.91749313</c:v>
                </c:pt>
                <c:pt idx="25">
                  <c:v>119691173.44897111</c:v>
                </c:pt>
                <c:pt idx="26">
                  <c:v>122484987.90658414</c:v>
                </c:pt>
                <c:pt idx="27">
                  <c:v>124865938.24557108</c:v>
                </c:pt>
                <c:pt idx="28">
                  <c:v>126881581.42029749</c:v>
                </c:pt>
                <c:pt idx="29">
                  <c:v>128578377.24528812</c:v>
                </c:pt>
                <c:pt idx="30">
                  <c:v>130000000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3C3-4807-83FB-2ED59984652B}"/>
            </c:ext>
          </c:extLst>
        </c:ser>
        <c:ser>
          <c:idx val="7"/>
          <c:order val="12"/>
          <c:tx>
            <c:v>Final Actuals</c:v>
          </c:tx>
          <c:spPr>
            <a:ln w="19050">
              <a:solidFill>
                <a:srgbClr val="00B050"/>
              </a:solidFill>
              <a:prstDash val="lgDash"/>
            </a:ln>
          </c:spPr>
          <c:marker>
            <c:symbol val="none"/>
          </c:marker>
          <c:dLbls>
            <c:dLbl>
              <c:idx val="0"/>
              <c:tx>
                <c:rich>
                  <a:bodyPr/>
                  <a:lstStyle/>
                  <a:p>
                    <a:fld id="{0E128C13-C060-46A3-BBA1-5ABDC12942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5934-4455-99EC-226BB1DBDDC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F775B91C-D56A-4E04-B21D-6613F41C2C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5934-4455-99EC-226BB1DBDDC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BD706CD-1359-4014-A494-D9CE9FB820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5934-4455-99EC-226BB1DBDDCA}"/>
                </c:ext>
              </c:extLst>
            </c:dLbl>
            <c:dLbl>
              <c:idx val="3"/>
              <c:tx>
                <c:rich>
                  <a:bodyPr rot="5400000" vert="horz" wrap="square" lIns="38100" tIns="19050" rIns="38100" bIns="19050" anchor="ctr">
                    <a:spAutoFit/>
                  </a:bodyPr>
                  <a:lstStyle/>
                  <a:p>
                    <a:pPr>
                      <a:defRPr sz="1100">
                        <a:latin typeface="Arial Nova Light" panose="020B0304020202020204" pitchFamily="34" charset="0"/>
                      </a:defRPr>
                    </a:pPr>
                    <a:fld id="{147688BD-BFE0-4F16-B94B-852CFB95B800}" type="CELLRANGE">
                      <a:rPr lang="en-US"/>
                      <a:pPr>
                        <a:defRPr sz="1100">
                          <a:latin typeface="Arial Nova Light" panose="020B0304020202020204" pitchFamily="34" charset="0"/>
                        </a:defRPr>
                      </a:pPr>
                      <a:t>[CELLRANGE]</a:t>
                    </a:fld>
                    <a:endParaRPr lang="en-US"/>
                  </a:p>
                </c:rich>
              </c:tx>
              <c:spPr>
                <a:solidFill>
                  <a:schemeClr val="bg1">
                    <a:alpha val="70000"/>
                  </a:schemeClr>
                </a:solidFill>
                <a:ln>
                  <a:noFill/>
                </a:ln>
                <a:effectLst/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5934-4455-99EC-226BB1DBDDC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E126D75-4798-498E-8F44-317B3EAB4D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5934-4455-99EC-226BB1DBDDCA}"/>
                </c:ext>
              </c:extLst>
            </c:dLbl>
            <c:spPr>
              <a:solidFill>
                <a:schemeClr val="bg1">
                  <a:alpha val="70000"/>
                </a:schemeClr>
              </a:solidFill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100">
                    <a:latin typeface="Arial Nova Light" panose="020B0304020202020204" pitchFamily="34" charset="0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'Chart Data'!$BD$3:$BD$7</c:f>
              <c:numCache>
                <c:formatCode>General</c:formatCode>
                <c:ptCount val="5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</c:numCache>
            </c:numRef>
          </c:xVal>
          <c:yVal>
            <c:numRef>
              <c:f>'Chart Data'!$BE$3:$BE$7</c:f>
              <c:numCache>
                <c:formatCode>General</c:formatCode>
                <c:ptCount val="5"/>
                <c:pt idx="0">
                  <c:v>130000000</c:v>
                </c:pt>
                <c:pt idx="1">
                  <c:v>130000000</c:v>
                </c:pt>
                <c:pt idx="2">
                  <c:v>130000000</c:v>
                </c:pt>
                <c:pt idx="3">
                  <c:v>65000000</c:v>
                </c:pt>
                <c:pt idx="4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'Chart Data'!$BC$3:$BC$7</c15:f>
                <c15:dlblRangeCache>
                  <c:ptCount val="5"/>
                  <c:pt idx="1">
                    <c:v>Final Cost</c:v>
                  </c:pt>
                  <c:pt idx="3">
                    <c:v>Final Duration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E-5934-4455-99EC-226BB1DBDDCA}"/>
            </c:ext>
          </c:extLst>
        </c:ser>
        <c:ser>
          <c:idx val="12"/>
          <c:order val="13"/>
          <c:tx>
            <c:v>Earned Value to Date</c:v>
          </c:tx>
          <c:spPr>
            <a:ln w="12700">
              <a:solidFill>
                <a:srgbClr val="002060"/>
              </a:solidFill>
            </a:ln>
          </c:spPr>
          <c:marker>
            <c:symbol val="none"/>
          </c:marker>
          <c:xVal>
            <c:numRef>
              <c:f>'Chart Data'!$S$3:$S$33</c:f>
              <c:numCache>
                <c:formatCode>General</c:formatCode>
                <c:ptCount val="3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xVal>
          <c:yVal>
            <c:numRef>
              <c:f>'Chart Data'!$U$3:$U$33</c:f>
              <c:numCache>
                <c:formatCode>General</c:formatCode>
                <c:ptCount val="31"/>
                <c:pt idx="0">
                  <c:v>0</c:v>
                </c:pt>
                <c:pt idx="1">
                  <c:v>1478455.6243997603</c:v>
                </c:pt>
                <c:pt idx="2">
                  <c:v>3174155.8634039946</c:v>
                </c:pt>
                <c:pt idx="3">
                  <c:v>5109699.1571174189</c:v>
                </c:pt>
                <c:pt idx="4">
                  <c:v>7306928.251828202</c:v>
                </c:pt>
                <c:pt idx="5">
                  <c:v>9785751.0093946029</c:v>
                </c:pt>
                <c:pt idx="6">
                  <c:v>12562701.762166522</c:v>
                </c:pt>
                <c:pt idx="7">
                  <c:v>15649287.697149307</c:v>
                </c:pt>
                <c:pt idx="8">
                  <c:v>19050213.950931884</c:v>
                </c:pt>
                <c:pt idx="9">
                  <c:v>22761636.822139148</c:v>
                </c:pt>
                <c:pt idx="10">
                  <c:v>26769647.004476327</c:v>
                </c:pt>
                <c:pt idx="11">
                  <c:v>31049219.71925937</c:v>
                </c:pt>
                <c:pt idx="12">
                  <c:v>35563869.744324185</c:v>
                </c:pt>
                <c:pt idx="13">
                  <c:v>40266203.122053586</c:v>
                </c:pt>
                <c:pt idx="14">
                  <c:v>45099459.51346156</c:v>
                </c:pt>
                <c:pt idx="15">
                  <c:v>49999999.999999993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C3-4807-83FB-2ED59984652B}"/>
            </c:ext>
          </c:extLst>
        </c:ser>
        <c:ser>
          <c:idx val="15"/>
          <c:order val="14"/>
          <c:tx>
            <c:v>Future Earned Value (Unknown)</c:v>
          </c:tx>
          <c:spPr>
            <a:ln w="12700">
              <a:solidFill>
                <a:schemeClr val="tx2"/>
              </a:solidFill>
              <a:prstDash val="sysDot"/>
            </a:ln>
          </c:spPr>
          <c:marker>
            <c:symbol val="none"/>
          </c:marker>
          <c:xVal>
            <c:numRef>
              <c:f>'Chart Data'!$W$3:$W$33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</c:numCache>
            </c:numRef>
          </c:xVal>
          <c:yVal>
            <c:numRef>
              <c:f>'Chart Data'!$Y$3:$Y$33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49999999.999999993</c:v>
                </c:pt>
                <c:pt idx="16">
                  <c:v>54900540.486538425</c:v>
                </c:pt>
                <c:pt idx="17">
                  <c:v>59733796.877946407</c:v>
                </c:pt>
                <c:pt idx="18">
                  <c:v>64436130.2556758</c:v>
                </c:pt>
                <c:pt idx="19">
                  <c:v>68950780.280740604</c:v>
                </c:pt>
                <c:pt idx="20">
                  <c:v>73230352.995523646</c:v>
                </c:pt>
                <c:pt idx="21">
                  <c:v>77238363.177860841</c:v>
                </c:pt>
                <c:pt idx="22">
                  <c:v>80949786.049068078</c:v>
                </c:pt>
                <c:pt idx="23">
                  <c:v>84350712.302850679</c:v>
                </c:pt>
                <c:pt idx="24">
                  <c:v>87437298.23783347</c:v>
                </c:pt>
                <c:pt idx="25">
                  <c:v>90214248.990605384</c:v>
                </c:pt>
                <c:pt idx="26">
                  <c:v>92693071.748171791</c:v>
                </c:pt>
                <c:pt idx="27">
                  <c:v>94890300.842882559</c:v>
                </c:pt>
                <c:pt idx="28">
                  <c:v>96825844.136595994</c:v>
                </c:pt>
                <c:pt idx="29">
                  <c:v>98521544.375600234</c:v>
                </c:pt>
                <c:pt idx="30">
                  <c:v>100000000.00000001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3C3-4807-83FB-2ED59984652B}"/>
            </c:ext>
          </c:extLst>
        </c:ser>
        <c:ser>
          <c:idx val="0"/>
          <c:order val="15"/>
          <c:tx>
            <c:v>Planned Value</c:v>
          </c:tx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'Chart Data'!$E$3:$E$27</c:f>
              <c:numCache>
                <c:formatCode>General</c:formatCode>
                <c:ptCount val="25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</c:numCache>
              <c:extLst xmlns:c15="http://schemas.microsoft.com/office/drawing/2012/chart"/>
            </c:numRef>
          </c:xVal>
          <c:yVal>
            <c:numRef>
              <c:f>'Chart Data'!$F$3:$F$27</c:f>
              <c:numCache>
                <c:formatCode>_("$"* #,##0_);_("$"* \(#,##0\);_("$"* "-"??_);_(@_)</c:formatCode>
                <c:ptCount val="25"/>
                <c:pt idx="0">
                  <c:v>0</c:v>
                </c:pt>
                <c:pt idx="1">
                  <c:v>347097.34666395112</c:v>
                </c:pt>
                <c:pt idx="2">
                  <c:v>869063.31807220192</c:v>
                </c:pt>
                <c:pt idx="3">
                  <c:v>1650545.6099969603</c:v>
                </c:pt>
                <c:pt idx="4">
                  <c:v>2812886.9401066336</c:v>
                </c:pt>
                <c:pt idx="5">
                  <c:v>4524862.6818683473</c:v>
                </c:pt>
                <c:pt idx="6">
                  <c:v>7010371.6545108147</c:v>
                </c:pt>
                <c:pt idx="7">
                  <c:v>10544593.489371434</c:v>
                </c:pt>
                <c:pt idx="8">
                  <c:v>15424087.634018205</c:v>
                </c:pt>
                <c:pt idx="9">
                  <c:v>21893792.569775846</c:v>
                </c:pt>
                <c:pt idx="10">
                  <c:v>30026715.167758327</c:v>
                </c:pt>
                <c:pt idx="11">
                  <c:v>39592149.822794147</c:v>
                </c:pt>
                <c:pt idx="12">
                  <c:v>49999999.999999993</c:v>
                </c:pt>
                <c:pt idx="13">
                  <c:v>60407850.177205808</c:v>
                </c:pt>
                <c:pt idx="14">
                  <c:v>69973284.832241684</c:v>
                </c:pt>
                <c:pt idx="15">
                  <c:v>78106207.430224136</c:v>
                </c:pt>
                <c:pt idx="16">
                  <c:v>84575912.365981773</c:v>
                </c:pt>
                <c:pt idx="17">
                  <c:v>89455406.510628566</c:v>
                </c:pt>
                <c:pt idx="18">
                  <c:v>92989628.345489189</c:v>
                </c:pt>
                <c:pt idx="19">
                  <c:v>95475137.318131626</c:v>
                </c:pt>
                <c:pt idx="20">
                  <c:v>97187113.05989337</c:v>
                </c:pt>
                <c:pt idx="21">
                  <c:v>98349454.390003026</c:v>
                </c:pt>
                <c:pt idx="22">
                  <c:v>99130936.681927785</c:v>
                </c:pt>
                <c:pt idx="23">
                  <c:v>99652902.653336033</c:v>
                </c:pt>
                <c:pt idx="24">
                  <c:v>100000000</c:v>
                </c:pt>
              </c:numCache>
              <c:extLst xmlns:c15="http://schemas.microsoft.com/office/drawing/2012/chart"/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934-4455-99EC-226BB1DBDDCA}"/>
            </c:ext>
          </c:extLst>
        </c:ser>
        <c:ser>
          <c:idx val="17"/>
          <c:order val="16"/>
          <c:tx>
            <c:strRef>
              <c:f>'Chart Data'!$AD$2</c:f>
              <c:strCache>
                <c:ptCount val="1"/>
                <c:pt idx="0">
                  <c:v>BCP PV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'Chart Data'!$AA$3:$AA$33</c:f>
              <c:numCache>
                <c:formatCode>General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xVal>
          <c:yVal>
            <c:numRef>
              <c:f>'Chart Data'!$AD$3:$AD$33</c:f>
              <c:numCache>
                <c:formatCode>_("$"* #,##0_);_("$"* \(#,##0\);_("$"* "-"??_);_(@_)</c:formatCode>
                <c:ptCount val="3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44080421.651255101</c:v>
                </c:pt>
                <c:pt idx="13">
                  <c:v>51665235.566805661</c:v>
                </c:pt>
                <c:pt idx="14">
                  <c:v>60915401.227426499</c:v>
                </c:pt>
                <c:pt idx="15">
                  <c:v>71348916.051182762</c:v>
                </c:pt>
                <c:pt idx="16">
                  <c:v>82129286.211237311</c:v>
                </c:pt>
                <c:pt idx="17">
                  <c:v>92304612.230001092</c:v>
                </c:pt>
                <c:pt idx="18">
                  <c:v>101120945.45818311</c:v>
                </c:pt>
                <c:pt idx="19">
                  <c:v>108210800.69181137</c:v>
                </c:pt>
                <c:pt idx="20">
                  <c:v>113578052.92567754</c:v>
                </c:pt>
                <c:pt idx="21">
                  <c:v>117458322.13936898</c:v>
                </c:pt>
                <c:pt idx="22">
                  <c:v>120171120.7299912</c:v>
                </c:pt>
                <c:pt idx="23">
                  <c:v>122023572.79508109</c:v>
                </c:pt>
                <c:pt idx="24">
                  <c:v>123268280.38075921</c:v>
                </c:pt>
                <c:pt idx="25">
                  <c:v>124095585.4476005</c:v>
                </c:pt>
                <c:pt idx="26">
                  <c:v>124641493.87021372</c:v>
                </c:pt>
                <c:pt idx="27">
                  <c:v>125000000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9-490E-9E9F-4E0C71BF4CFD}"/>
            </c:ext>
          </c:extLst>
        </c:ser>
        <c:ser>
          <c:idx val="16"/>
          <c:order val="17"/>
          <c:tx>
            <c:strRef>
              <c:f>'Chart Data'!$BG$1</c:f>
              <c:strCache>
                <c:ptCount val="1"/>
                <c:pt idx="0">
                  <c:v>Baseline Pre-BCP</c:v>
                </c:pt>
              </c:strCache>
            </c:strRef>
          </c:tx>
          <c:marker>
            <c:symbol val="none"/>
          </c:marker>
          <c:xVal>
            <c:numRef>
              <c:f>'Chart Data'!$BH$3:$BH$15</c:f>
              <c:numCache>
                <c:formatCode>General</c:formatCode>
                <c:ptCount val="13"/>
                <c:pt idx="4">
                  <c:v>24</c:v>
                </c:pt>
                <c:pt idx="5">
                  <c:v>27</c:v>
                </c:pt>
                <c:pt idx="6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</c:numCache>
            </c:numRef>
          </c:xVal>
          <c:yVal>
            <c:numRef>
              <c:f>'Chart Data'!$BI$3:$BI$15</c:f>
              <c:numCache>
                <c:formatCode>_("$"* #,##0_);_("$"* \(#,##0\);_("$"* "-"??_);_(@_)</c:formatCode>
                <c:ptCount val="13"/>
                <c:pt idx="4">
                  <c:v>100000000</c:v>
                </c:pt>
                <c:pt idx="5">
                  <c:v>112500000</c:v>
                </c:pt>
                <c:pt idx="6">
                  <c:v>125000000</c:v>
                </c:pt>
                <c:pt idx="9">
                  <c:v>125000000</c:v>
                </c:pt>
                <c:pt idx="10">
                  <c:v>125000000</c:v>
                </c:pt>
                <c:pt idx="11">
                  <c:v>62500000</c:v>
                </c:pt>
                <c:pt idx="1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9-490E-9E9F-4E0C71BF4C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52809807"/>
        <c:axId val="1052780527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0"/>
                <c:tx>
                  <c:v>Actual Cost</c:v>
                </c:tx>
                <c:spPr>
                  <a:ln w="12700">
                    <a:solidFill>
                      <a:schemeClr val="accent3"/>
                    </a:solidFill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'Chart Data'!$L$3:$L$33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1421622.7547118734</c:v>
                      </c:pt>
                      <c:pt idx="2">
                        <c:v>3118418.5797024793</c:v>
                      </c:pt>
                      <c:pt idx="3">
                        <c:v>5134061.7544289101</c:v>
                      </c:pt>
                      <c:pt idx="4">
                        <c:v>7515012.0934158238</c:v>
                      </c:pt>
                      <c:pt idx="5">
                        <c:v>10308826.551028855</c:v>
                      </c:pt>
                      <c:pt idx="6">
                        <c:v>13561618.082506869</c:v>
                      </c:pt>
                      <c:pt idx="7">
                        <c:v>17314562.952971365</c:v>
                      </c:pt>
                      <c:pt idx="8">
                        <c:v>21599479.306924</c:v>
                      </c:pt>
                      <c:pt idx="9">
                        <c:v>26433696.950413063</c:v>
                      </c:pt>
                      <c:pt idx="10">
                        <c:v>31814701.237123687</c:v>
                      </c:pt>
                      <c:pt idx="11">
                        <c:v>37715317.687306345</c:v>
                      </c:pt>
                      <c:pt idx="12">
                        <c:v>44080421.651255101</c:v>
                      </c:pt>
                      <c:pt idx="13">
                        <c:v>50826193.926843315</c:v>
                      </c:pt>
                      <c:pt idx="14">
                        <c:v>57842697.729863882</c:v>
                      </c:pt>
                      <c:pt idx="15">
                        <c:v>64999999.999999985</c:v>
                      </c:pt>
                      <c:pt idx="16">
                        <c:v>72157302.270136088</c:v>
                      </c:pt>
                      <c:pt idx="17">
                        <c:v>79173806.073156655</c:v>
                      </c:pt>
                      <c:pt idx="18">
                        <c:v>85919578.348744884</c:v>
                      </c:pt>
                      <c:pt idx="19">
                        <c:v>92284682.312693626</c:v>
                      </c:pt>
                      <c:pt idx="20">
                        <c:v>98185298.762876287</c:v>
                      </c:pt>
                      <c:pt idx="21">
                        <c:v>103566303.04958689</c:v>
                      </c:pt>
                      <c:pt idx="22">
                        <c:v>108400520.69307597</c:v>
                      </c:pt>
                      <c:pt idx="23">
                        <c:v>112685437.04702863</c:v>
                      </c:pt>
                      <c:pt idx="24">
                        <c:v>116438381.91749313</c:v>
                      </c:pt>
                      <c:pt idx="25">
                        <c:v>119691173.44897111</c:v>
                      </c:pt>
                      <c:pt idx="26" formatCode="General">
                        <c:v>122484987.90658414</c:v>
                      </c:pt>
                      <c:pt idx="27" formatCode="General">
                        <c:v>124865938.24557108</c:v>
                      </c:pt>
                      <c:pt idx="28" formatCode="General">
                        <c:v>126881581.42029749</c:v>
                      </c:pt>
                      <c:pt idx="29" formatCode="General">
                        <c:v>128578377.24528812</c:v>
                      </c:pt>
                      <c:pt idx="30" formatCode="General">
                        <c:v>130000000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0-5934-4455-99EC-226BB1DBDDCA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Earned Value</c:v>
                </c:tx>
                <c:spPr>
                  <a:ln w="12700">
                    <a:solidFill>
                      <a:schemeClr val="accent1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Data'!$I$3:$I$33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Data'!$K$3:$K$33</c15:sqref>
                        </c15:formulaRef>
                      </c:ext>
                    </c:extLst>
                    <c:numCache>
                      <c:formatCode>_("$"* #,##0_);_("$"* \(#,##0\);_("$"* "-"??_);_(@_)</c:formatCode>
                      <c:ptCount val="31"/>
                      <c:pt idx="0" formatCode="General">
                        <c:v>0</c:v>
                      </c:pt>
                      <c:pt idx="1">
                        <c:v>1478455.6243997603</c:v>
                      </c:pt>
                      <c:pt idx="2">
                        <c:v>3174155.8634039946</c:v>
                      </c:pt>
                      <c:pt idx="3">
                        <c:v>5109699.1571174189</c:v>
                      </c:pt>
                      <c:pt idx="4">
                        <c:v>7306928.251828202</c:v>
                      </c:pt>
                      <c:pt idx="5">
                        <c:v>9785751.0093946029</c:v>
                      </c:pt>
                      <c:pt idx="6">
                        <c:v>12562701.762166522</c:v>
                      </c:pt>
                      <c:pt idx="7">
                        <c:v>15649287.697149307</c:v>
                      </c:pt>
                      <c:pt idx="8">
                        <c:v>19050213.950931884</c:v>
                      </c:pt>
                      <c:pt idx="9">
                        <c:v>22761636.822139148</c:v>
                      </c:pt>
                      <c:pt idx="10">
                        <c:v>26769647.004476327</c:v>
                      </c:pt>
                      <c:pt idx="11">
                        <c:v>31049219.71925937</c:v>
                      </c:pt>
                      <c:pt idx="12">
                        <c:v>35563869.744324185</c:v>
                      </c:pt>
                      <c:pt idx="13">
                        <c:v>40266203.122053586</c:v>
                      </c:pt>
                      <c:pt idx="14">
                        <c:v>45099459.51346156</c:v>
                      </c:pt>
                      <c:pt idx="15">
                        <c:v>49999999.999999993</c:v>
                      </c:pt>
                      <c:pt idx="16">
                        <c:v>54900540.486538425</c:v>
                      </c:pt>
                      <c:pt idx="17">
                        <c:v>59733796.877946407</c:v>
                      </c:pt>
                      <c:pt idx="18">
                        <c:v>64436130.2556758</c:v>
                      </c:pt>
                      <c:pt idx="19">
                        <c:v>68950780.280740604</c:v>
                      </c:pt>
                      <c:pt idx="20">
                        <c:v>73230352.995523646</c:v>
                      </c:pt>
                      <c:pt idx="21">
                        <c:v>77238363.177860841</c:v>
                      </c:pt>
                      <c:pt idx="22">
                        <c:v>80949786.049068078</c:v>
                      </c:pt>
                      <c:pt idx="23">
                        <c:v>84350712.302850679</c:v>
                      </c:pt>
                      <c:pt idx="24">
                        <c:v>87437298.23783347</c:v>
                      </c:pt>
                      <c:pt idx="25">
                        <c:v>90214248.990605384</c:v>
                      </c:pt>
                      <c:pt idx="26">
                        <c:v>92693071.748171791</c:v>
                      </c:pt>
                      <c:pt idx="27">
                        <c:v>94890300.842882559</c:v>
                      </c:pt>
                      <c:pt idx="28">
                        <c:v>96825844.136595994</c:v>
                      </c:pt>
                      <c:pt idx="29">
                        <c:v>98521544.375600234</c:v>
                      </c:pt>
                      <c:pt idx="30">
                        <c:v>100000000.00000001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934-4455-99EC-226BB1DBDDCA}"/>
                  </c:ext>
                </c:extLst>
              </c15:ser>
            </c15:filteredScatterSeries>
            <c15:filteredScatterSeries>
              <c15:ser>
                <c:idx val="13"/>
                <c:order val="9"/>
                <c:tx>
                  <c:v>Planned Value to Date</c:v>
                </c:tx>
                <c:spPr>
                  <a:ln w="12700">
                    <a:solidFill>
                      <a:srgbClr val="C00000"/>
                    </a:solidFill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Data'!$S$3:$S$33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'Chart Data'!$T$3:$T$33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0</c:v>
                      </c:pt>
                      <c:pt idx="1">
                        <c:v>347097.34666395112</c:v>
                      </c:pt>
                      <c:pt idx="2">
                        <c:v>869063.31807220192</c:v>
                      </c:pt>
                      <c:pt idx="3">
                        <c:v>1650545.6099969603</c:v>
                      </c:pt>
                      <c:pt idx="4">
                        <c:v>2812886.9401066336</c:v>
                      </c:pt>
                      <c:pt idx="5">
                        <c:v>4524862.6818683473</c:v>
                      </c:pt>
                      <c:pt idx="6">
                        <c:v>7010371.6545108147</c:v>
                      </c:pt>
                      <c:pt idx="7">
                        <c:v>10544593.489371434</c:v>
                      </c:pt>
                      <c:pt idx="8">
                        <c:v>15424087.634018205</c:v>
                      </c:pt>
                      <c:pt idx="9">
                        <c:v>21893792.569775846</c:v>
                      </c:pt>
                      <c:pt idx="10">
                        <c:v>30026715.167758327</c:v>
                      </c:pt>
                      <c:pt idx="11">
                        <c:v>39592149.822794147</c:v>
                      </c:pt>
                      <c:pt idx="12">
                        <c:v>49999999.999999993</c:v>
                      </c:pt>
                      <c:pt idx="13">
                        <c:v>60407850.177205808</c:v>
                      </c:pt>
                      <c:pt idx="14">
                        <c:v>69973284.832241684</c:v>
                      </c:pt>
                      <c:pt idx="15">
                        <c:v>78106207.430224136</c:v>
                      </c:pt>
                      <c:pt idx="16">
                        <c:v>#N/A</c:v>
                      </c:pt>
                      <c:pt idx="17">
                        <c:v>#N/A</c:v>
                      </c:pt>
                      <c:pt idx="18">
                        <c:v>#N/A</c:v>
                      </c:pt>
                      <c:pt idx="19">
                        <c:v>#N/A</c:v>
                      </c:pt>
                      <c:pt idx="20">
                        <c:v>#N/A</c:v>
                      </c:pt>
                      <c:pt idx="21">
                        <c:v>#N/A</c:v>
                      </c:pt>
                      <c:pt idx="22">
                        <c:v>#N/A</c:v>
                      </c:pt>
                      <c:pt idx="23">
                        <c:v>#N/A</c:v>
                      </c:pt>
                      <c:pt idx="24">
                        <c:v>#N/A</c:v>
                      </c:pt>
                      <c:pt idx="25">
                        <c:v>#N/A</c:v>
                      </c:pt>
                      <c:pt idx="26">
                        <c:v>#N/A</c:v>
                      </c:pt>
                      <c:pt idx="27">
                        <c:v>#N/A</c:v>
                      </c:pt>
                      <c:pt idx="28">
                        <c:v>#N/A</c:v>
                      </c:pt>
                      <c:pt idx="29">
                        <c:v>#N/A</c:v>
                      </c:pt>
                      <c:pt idx="30">
                        <c:v>#N/A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3C3-4807-83FB-2ED59984652B}"/>
                  </c:ext>
                </c:extLst>
              </c15:ser>
            </c15:filteredScatterSeries>
          </c:ext>
        </c:extLst>
      </c:scatterChart>
      <c:valAx>
        <c:axId val="1052809807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780527"/>
        <c:crosses val="autoZero"/>
        <c:crossBetween val="midCat"/>
      </c:valAx>
      <c:valAx>
        <c:axId val="10527805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809807"/>
        <c:crosses val="autoZero"/>
        <c:crossBetween val="midCat"/>
      </c:valAx>
      <c:spPr>
        <a:solidFill>
          <a:schemeClr val="bg1"/>
        </a:solidFill>
      </c:spPr>
    </c:plotArea>
    <c:legend>
      <c:legendPos val="b"/>
      <c:layout>
        <c:manualLayout>
          <c:xMode val="edge"/>
          <c:yMode val="edge"/>
          <c:x val="0.1496024505257193"/>
          <c:y val="0.88114417542595858"/>
          <c:w val="0.79992166363819928"/>
          <c:h val="0.11885581828826784"/>
        </c:manualLayout>
      </c:layout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0E9196A-8996-4E92-88F6-F2A4562C7C20}">
  <sheetPr>
    <tabColor rgb="FF00B050"/>
  </sheetPr>
  <sheetViews>
    <sheetView zoomScale="125" workbookViewId="0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B5DDF22-27C9-4ECB-B68C-80FAE48AAC88}">
  <sheetPr>
    <tabColor rgb="FF00B0F0"/>
  </sheetPr>
  <sheetViews>
    <sheetView zoomScale="125" workbookViewId="0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83CDF2-8C3A-4F63-8B1B-635E2B207B08}">
  <sheetPr>
    <tabColor rgb="FF0070C0"/>
  </sheetPr>
  <sheetViews>
    <sheetView zoomScale="125" workbookViewId="0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6A560CB-4D9A-4D1D-9E10-AEDE0D6664DA}">
  <sheetPr>
    <tabColor rgb="FF002060"/>
  </sheetPr>
  <sheetViews>
    <sheetView zoomScale="125" workbookViewId="0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27E042A-33FC-4635-8715-A525E4886175}">
  <sheetPr>
    <tabColor rgb="FF7030A0"/>
  </sheetPr>
  <sheetViews>
    <sheetView zoomScale="125" workbookViewId="0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E75ED2A-EB31-4676-88E5-84DC35D89D2B}">
  <sheetPr>
    <tabColor rgb="FFFF0000"/>
  </sheetPr>
  <sheetViews>
    <sheetView zoomScale="125" workbookViewId="0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06DC8E2-5F5D-49EF-8DBA-83B8FB53B09E}">
  <sheetPr/>
  <sheetViews>
    <sheetView zoomScale="145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EB927D-7B63-16DE-2967-BF4E6D6EA2C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5B39D9-D182-BDDC-7A10-E4E41C50D64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54E769-571D-06A2-B964-56461745CB8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77B03B-54F9-A491-A33C-9ECE2141CF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0.15509</cdr:x>
      <cdr:y>0.07917</cdr:y>
    </cdr:from>
    <cdr:to>
      <cdr:x>0.84391</cdr:x>
      <cdr:y>0.17778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69CF0941-135A-EF33-EB30-158777DF6659}"/>
            </a:ext>
          </a:extLst>
        </cdr:cNvPr>
        <cdr:cNvSpPr txBox="1"/>
      </cdr:nvSpPr>
      <cdr:spPr>
        <a:xfrm xmlns:a="http://schemas.openxmlformats.org/drawingml/2006/main">
          <a:off x="1345734" y="498095"/>
          <a:ext cx="5977156" cy="62043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pPr algn="ctr"/>
          <a:r>
            <a:rPr lang="en-US" sz="1100" kern="1200"/>
            <a:t>Earned</a:t>
          </a:r>
          <a:r>
            <a:rPr lang="en-US" sz="1100" kern="1200" baseline="0"/>
            <a:t> Schedule is the </a:t>
          </a:r>
          <a:r>
            <a:rPr lang="en-US" sz="1100" b="1" kern="1200" baseline="0"/>
            <a:t>time when the planned value </a:t>
          </a:r>
          <a:r>
            <a:rPr lang="en-US" sz="1100" kern="1200" baseline="0"/>
            <a:t>would equal the </a:t>
          </a:r>
          <a:r>
            <a:rPr lang="en-US" sz="1100" b="1" kern="1200" baseline="0"/>
            <a:t>current cumulative earned value</a:t>
          </a:r>
          <a:r>
            <a:rPr lang="en-US" sz="1100" kern="1200" baseline="0"/>
            <a:t>.</a:t>
          </a:r>
          <a:br>
            <a:rPr lang="en-US" sz="1100" kern="1200" baseline="0"/>
          </a:br>
          <a:r>
            <a:rPr lang="en-US" sz="1100" kern="1200" baseline="0"/>
            <a:t>Planned Value (Earned Schedule) = Earned Value (Time Now)</a:t>
          </a:r>
          <a:br>
            <a:rPr lang="en-US" sz="1100" kern="1200" baseline="0"/>
          </a:br>
          <a:r>
            <a:rPr lang="en-US" sz="1100" b="1" kern="1200" baseline="0"/>
            <a:t>ES = PV</a:t>
          </a:r>
          <a:r>
            <a:rPr lang="en-US" sz="1100" b="1" kern="1200" baseline="30000"/>
            <a:t>-1</a:t>
          </a:r>
          <a:r>
            <a:rPr lang="en-US" sz="1100" b="1" kern="1200" baseline="0"/>
            <a:t>(EV(Now))</a:t>
          </a:r>
          <a:endParaRPr lang="en-US" sz="1100" b="1" kern="1200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14BA2C-5C14-615E-BDE1-F8E61B6648C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71560" cy="62941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901D9A-B2B3-230D-545E-5329937D2D1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71034" cy="629306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5FBA38-C9E4-DBFE-2EE4-7682682F377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CC0A12-CF51-4CA3-89C8-D319AD3FE4C4}" name="Cumulative_EVM" displayName="Cumulative_EVM" ref="I2:AF33" totalsRowShown="0">
  <autoFilter ref="I2:AF33" xr:uid="{04CC0A12-CF51-4CA3-89C8-D319AD3FE4C4}"/>
  <tableColumns count="24">
    <tableColumn id="1" xr3:uid="{5D3E296C-F48F-4282-B01F-3E1C10DA27FB}" name="t" dataDxfId="21">
      <calculatedColumnFormula>IF(ROW(Cumulative_EVM[[#This Row],[t]])-ROW(Cumulative_EVM[[#Headers],[t]])-1&lt;=Actual_Duration,ROW(Cumulative_EVM[[#This Row],[t]])-ROW(Cumulative_EVM[[#Headers],[t]])-1,Actual_Duration)</calculatedColumnFormula>
    </tableColumn>
    <tableColumn id="2" xr3:uid="{D4A6B254-B386-4884-95A4-DD85C105B9DB}" name="PV" dataDxfId="20">
      <calculatedColumnFormula>IF(AND(Cumulative_EVM[[#This Row],[t]]=E3,Cumulative_EVM[[#This Row],[t]]&lt;=Actual_Duration),F3,NA())</calculatedColumnFormula>
    </tableColumn>
    <tableColumn id="3" xr3:uid="{1F57FAA2-DA8D-43DD-9FC7-1E8A7550F86D}" name="EV" dataDxfId="19">
      <calculatedColumnFormula array="1">sigmoid(Cumulative_EVM[[#This Row],[t]]/MAX(Cumulative_EVM[t]),BAC,EV_Truncation)</calculatedColumnFormula>
    </tableColumn>
    <tableColumn id="4" xr3:uid="{81170B0A-AA12-4C00-9A1C-F15589862C41}" name="AC" dataDxfId="18">
      <calculatedColumnFormula array="1">sigmoid(Cumulative_EVM[[#This Row],[t]]/MAX(Cumulative_EVM[t]),Actual_Cost,AC_Truncation)</calculatedColumnFormula>
    </tableColumn>
    <tableColumn id="5" xr3:uid="{105F864A-5AD4-4525-A763-B918CEBD01FE}" name="CPI"/>
    <tableColumn id="6" xr3:uid="{F8085ACD-72CE-4093-AD6F-2207927CCF83}" name="SPI"/>
    <tableColumn id="7" xr3:uid="{D548CD2C-379E-4430-A7F6-F096D9378EA3}" name="ES Month Before" dataDxfId="17">
      <calculatedColumnFormula>_xlfn.XLOOKUP(Cumulative_EVM[[#This Row],[EV]],Cumulative_EVM[PV],Cumulative_EVM[t],0,-1,1)</calculatedColumnFormula>
    </tableColumn>
    <tableColumn id="8" xr3:uid="{21362BDA-D2AA-45F1-B247-A0ADAD390771}" name="ES Month After" dataDxfId="16">
      <calculatedColumnFormula>_xlfn.XLOOKUP(Cumulative_EVM[[#This Row],[EV]],Cumulative_EVM[PV],Cumulative_EVM[t],0,1,1)</calculatedColumnFormula>
    </tableColumn>
    <tableColumn id="9" xr3:uid="{A44240B5-E07E-49DA-9B8D-E195E8FC0232}" name="ES Fraction" dataDxfId="15">
      <calculatedColumnFormula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calculatedColumnFormula>
    </tableColumn>
    <tableColumn id="10" xr3:uid="{B6A0EA00-F7D6-42B3-A717-8234F14B6259}" name="ES" dataDxfId="14">
      <calculatedColumnFormula>Cumulative_EVM[[#This Row],[ES Month Before]]+Cumulative_EVM[[#This Row],[ES Fraction]]</calculatedColumnFormula>
    </tableColumn>
    <tableColumn id="11" xr3:uid="{7FC121C8-E897-4BA4-BE42-5402B87BD6DF}" name="t_to_now" dataDxfId="13">
      <calculatedColumnFormula array="1">IF(Cumulative_EVM[[#This Row],[t]:[t]]&lt;=Time__now,Cumulative_EVM[[#This Row],[t]],NA())</calculatedColumnFormula>
    </tableColumn>
    <tableColumn id="12" xr3:uid="{F14E7CFE-AF88-4FC4-9E8E-DD9A3DB87FD3}" name="PV_to_now" dataDxfId="12">
      <calculatedColumnFormula array="1">IF(Cumulative_EVM[[#This Row],[t]:[t]]&lt;=Time__now,Cumulative_EVM[[#This Row],[PV]],NA())</calculatedColumnFormula>
    </tableColumn>
    <tableColumn id="13" xr3:uid="{96A91D0E-C3AB-43DD-AD83-695201B06163}" name="EV_to_now" dataDxfId="11">
      <calculatedColumnFormula array="1">IF(Cumulative_EVM[[#This Row],[t]:[t]]&lt;=Time__now,Cumulative_EVM[[#This Row],[EV]],NA())</calculatedColumnFormula>
    </tableColumn>
    <tableColumn id="18" xr3:uid="{E9B1C8F1-4EBA-4C4C-961F-9A1072B86F1E}" name="AC_to_now" dataDxfId="10">
      <calculatedColumnFormula array="1">IF(Cumulative_EVM[[#This Row],[t]:[t]]&lt;=Time__now,Cumulative_EVM[[#This Row],[AC]],NA())</calculatedColumnFormula>
    </tableColumn>
    <tableColumn id="14" xr3:uid="{20625D92-59E0-441B-B66C-AD9DE8B96304}" name="t_future" dataDxfId="9">
      <calculatedColumnFormula array="1">IF(Cumulative_EVM[[#This Row],[t]:[t]]&gt;=Time__now,Cumulative_EVM[[#This Row],[t]],NA())</calculatedColumnFormula>
    </tableColumn>
    <tableColumn id="16" xr3:uid="{454E12CC-CE79-4721-BFB4-FBFAF0C66689}" name="PV_Future" dataDxfId="8">
      <calculatedColumnFormula array="1">IF(Cumulative_EVM[[#This Row],[t]:[t]]&gt;=Time__now,Cumulative_EVM[[#This Row],[PV]],NA())</calculatedColumnFormula>
    </tableColumn>
    <tableColumn id="17" xr3:uid="{B21B25DF-F7AA-43D8-83F4-EEA6C17C60A8}" name="EV_Future" dataDxfId="7">
      <calculatedColumnFormula array="1">IF(Cumulative_EVM[[#This Row],[t]:[t]]&gt;=Time__now,Cumulative_EVM[[#This Row],[EV]],NA())</calculatedColumnFormula>
    </tableColumn>
    <tableColumn id="15" xr3:uid="{E4E60893-8175-4997-A8DC-EC73A54D7C4D}" name="AC_future" dataDxfId="6">
      <calculatedColumnFormula array="1">IF(Cumulative_EVM[[#This Row],[t]:[t]]&gt;=Time__now,Cumulative_EVM[[#This Row],[AC]],NA())</calculatedColumnFormula>
    </tableColumn>
    <tableColumn id="19" xr3:uid="{82572086-78C0-4DD0-B195-57FC7846F128}" name="BCP t" dataDxfId="5">
      <calculatedColumnFormula>_xlfn.LET(
    _xlpm.t, Cumulative_EVM[[#This Row],[t]],
    _xlpm.bcpDate, BCP_Period,
    _xlpm.finishDate, MAX(t_rebaselined),
    IF(
        AND(_xlpm.t&gt;=_xlpm.bcpDate,_xlpm.t&lt;=_xlpm.finishDate),
        _xlpm.t,
        NA()
    )
)</calculatedColumnFormula>
    </tableColumn>
    <tableColumn id="23" xr3:uid="{A3BD98FE-BAAA-41CE-8ED4-3988E4E10CEF}" name="New_Baseline" dataDxfId="4">
      <calculatedColumnFormula>IF(Cumulative_EVM[[#This Row],[t]]&gt;=BCP_Period,BCP_BAC,BAC)</calculatedColumnFormula>
    </tableColumn>
    <tableColumn id="24" xr3:uid="{7DAC71B5-8265-46F7-99CC-36B2ED884201}" name="PV Pre-BCP" dataDxfId="3" dataCellStyle="Currency">
      <calculatedColumnFormula>IF(Cumulative_EVM[[#This Row],[t]]&lt;=BCP_Period,Cumulative_EVM[[#This Row],[PV]],NA())</calculatedColumnFormula>
    </tableColumn>
    <tableColumn id="21" xr3:uid="{5567FAF5-95C2-4C28-AE39-74AA15D84820}" name="BCP PV" dataDxfId="2">
      <calculatedColumnFormula array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calculatedColumnFormula>
    </tableColumn>
    <tableColumn id="22" xr3:uid="{92912E82-8DAA-49A9-8774-66C23FE3A0AE}" name="BCP EV" dataDxfId="1"/>
    <tableColumn id="20" xr3:uid="{D7204B52-861F-4756-BCB7-5D8495D50F54}" name="BCP Actual Cos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153B9-F4A0-4A24-8C96-3089C076584D}">
  <dimension ref="A1:BI50"/>
  <sheetViews>
    <sheetView tabSelected="1" workbookViewId="0">
      <selection activeCell="D8" sqref="D8"/>
    </sheetView>
  </sheetViews>
  <sheetFormatPr defaultRowHeight="15" x14ac:dyDescent="0.25"/>
  <cols>
    <col min="1" max="1" width="16.5703125" bestFit="1" customWidth="1"/>
    <col min="2" max="2" width="14.28515625" bestFit="1" customWidth="1"/>
    <col min="3" max="3" width="14.85546875" bestFit="1" customWidth="1"/>
    <col min="4" max="4" width="29.28515625" customWidth="1"/>
    <col min="6" max="6" width="13.7109375" bestFit="1" customWidth="1"/>
    <col min="7" max="8" width="13.7109375" customWidth="1"/>
    <col min="10" max="12" width="14" bestFit="1" customWidth="1"/>
    <col min="13" max="14" width="11.5703125" bestFit="1" customWidth="1"/>
    <col min="15" max="15" width="16.28515625" customWidth="1"/>
    <col min="16" max="16" width="14.85546875" customWidth="1"/>
    <col min="17" max="17" width="12.140625" customWidth="1"/>
    <col min="18" max="19" width="11.5703125" customWidth="1"/>
    <col min="20" max="20" width="12.85546875" bestFit="1" customWidth="1"/>
    <col min="21" max="26" width="11.5703125" customWidth="1"/>
    <col min="27" max="27" width="8.140625" bestFit="1" customWidth="1"/>
    <col min="28" max="28" width="16" bestFit="1" customWidth="1"/>
    <col min="29" max="29" width="13.42578125" bestFit="1" customWidth="1"/>
    <col min="30" max="30" width="13.7109375" bestFit="1" customWidth="1"/>
    <col min="31" max="32" width="11.5703125" customWidth="1"/>
    <col min="33" max="37" width="14.28515625" customWidth="1"/>
    <col min="39" max="39" width="21.7109375" bestFit="1" customWidth="1"/>
    <col min="40" max="40" width="13.7109375" bestFit="1" customWidth="1"/>
    <col min="41" max="41" width="13.85546875" bestFit="1" customWidth="1"/>
    <col min="42" max="42" width="11.5703125" bestFit="1" customWidth="1"/>
    <col min="43" max="43" width="29.28515625" bestFit="1" customWidth="1"/>
    <col min="44" max="44" width="5.5703125" bestFit="1" customWidth="1"/>
    <col min="45" max="45" width="13.85546875" bestFit="1" customWidth="1"/>
    <col min="47" max="47" width="5.7109375" bestFit="1" customWidth="1"/>
    <col min="48" max="48" width="5.28515625" bestFit="1" customWidth="1"/>
    <col min="49" max="49" width="12" bestFit="1" customWidth="1"/>
    <col min="51" max="51" width="19.42578125" bestFit="1" customWidth="1"/>
    <col min="52" max="52" width="12" bestFit="1" customWidth="1"/>
    <col min="53" max="53" width="13.85546875" bestFit="1" customWidth="1"/>
    <col min="55" max="55" width="13.7109375" bestFit="1" customWidth="1"/>
    <col min="56" max="56" width="5.28515625" bestFit="1" customWidth="1"/>
    <col min="57" max="57" width="10.85546875" bestFit="1" customWidth="1"/>
    <col min="59" max="59" width="25" bestFit="1" customWidth="1"/>
    <col min="60" max="60" width="8.140625" bestFit="1" customWidth="1"/>
    <col min="61" max="61" width="16.28515625" bestFit="1" customWidth="1"/>
  </cols>
  <sheetData>
    <row r="1" spans="1:61" x14ac:dyDescent="0.25">
      <c r="E1" s="3" t="s">
        <v>15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4" t="s">
        <v>16</v>
      </c>
      <c r="AH1" s="4"/>
      <c r="AI1" s="4"/>
      <c r="AJ1" s="4"/>
      <c r="AK1" s="4"/>
      <c r="AM1" s="9" t="s">
        <v>37</v>
      </c>
      <c r="AN1" s="9"/>
      <c r="AO1" s="9"/>
      <c r="AQ1" s="10" t="s">
        <v>53</v>
      </c>
      <c r="AR1" s="10"/>
      <c r="AS1" s="10"/>
      <c r="AU1" s="16" t="s">
        <v>39</v>
      </c>
      <c r="AV1" s="11"/>
      <c r="AW1" s="11"/>
      <c r="AY1" s="17" t="s">
        <v>51</v>
      </c>
      <c r="AZ1" s="12"/>
      <c r="BA1" s="12"/>
      <c r="BC1" s="18" t="s">
        <v>38</v>
      </c>
      <c r="BD1" s="13"/>
      <c r="BE1" s="13"/>
      <c r="BG1" s="19" t="s">
        <v>68</v>
      </c>
      <c r="BH1" s="14"/>
      <c r="BI1" s="14"/>
    </row>
    <row r="2" spans="1:61" x14ac:dyDescent="0.25">
      <c r="A2" t="s">
        <v>5</v>
      </c>
      <c r="B2" t="s">
        <v>6</v>
      </c>
      <c r="E2" t="s">
        <v>4</v>
      </c>
      <c r="F2" t="s">
        <v>0</v>
      </c>
      <c r="G2" t="s">
        <v>60</v>
      </c>
      <c r="H2" t="s">
        <v>61</v>
      </c>
      <c r="I2" t="s">
        <v>3</v>
      </c>
      <c r="J2" t="s">
        <v>0</v>
      </c>
      <c r="K2" t="s">
        <v>1</v>
      </c>
      <c r="L2" t="s">
        <v>2</v>
      </c>
      <c r="M2" t="s">
        <v>17</v>
      </c>
      <c r="N2" t="s">
        <v>18</v>
      </c>
      <c r="O2" t="s">
        <v>22</v>
      </c>
      <c r="P2" t="s">
        <v>21</v>
      </c>
      <c r="Q2" t="s">
        <v>23</v>
      </c>
      <c r="R2" t="s">
        <v>19</v>
      </c>
      <c r="S2" t="s">
        <v>43</v>
      </c>
      <c r="T2" t="s">
        <v>50</v>
      </c>
      <c r="U2" t="s">
        <v>45</v>
      </c>
      <c r="V2" t="s">
        <v>44</v>
      </c>
      <c r="W2" t="s">
        <v>46</v>
      </c>
      <c r="X2" t="s">
        <v>49</v>
      </c>
      <c r="Y2" t="s">
        <v>48</v>
      </c>
      <c r="Z2" t="s">
        <v>47</v>
      </c>
      <c r="AA2" t="s">
        <v>56</v>
      </c>
      <c r="AB2" t="s">
        <v>62</v>
      </c>
      <c r="AC2" t="s">
        <v>76</v>
      </c>
      <c r="AD2" t="s">
        <v>59</v>
      </c>
      <c r="AE2" t="s">
        <v>58</v>
      </c>
      <c r="AF2" t="s">
        <v>57</v>
      </c>
      <c r="AG2" t="s">
        <v>0</v>
      </c>
      <c r="AH2" t="s">
        <v>1</v>
      </c>
      <c r="AI2" t="s">
        <v>2</v>
      </c>
      <c r="AJ2" t="s">
        <v>17</v>
      </c>
      <c r="AK2" t="s">
        <v>18</v>
      </c>
      <c r="AM2" t="s">
        <v>29</v>
      </c>
      <c r="AN2" t="s">
        <v>10</v>
      </c>
      <c r="AO2" t="s">
        <v>11</v>
      </c>
      <c r="AQ2" t="s">
        <v>30</v>
      </c>
      <c r="AR2" t="s">
        <v>10</v>
      </c>
      <c r="AS2" t="s">
        <v>12</v>
      </c>
      <c r="AU2" t="s">
        <v>30</v>
      </c>
      <c r="AV2" t="s">
        <v>10</v>
      </c>
      <c r="AW2" t="s">
        <v>33</v>
      </c>
      <c r="AY2" t="s">
        <v>30</v>
      </c>
      <c r="AZ2" t="s">
        <v>10</v>
      </c>
      <c r="BA2" t="s">
        <v>11</v>
      </c>
      <c r="BC2" t="s">
        <v>30</v>
      </c>
      <c r="BD2" t="s">
        <v>10</v>
      </c>
      <c r="BE2" t="s">
        <v>12</v>
      </c>
      <c r="BG2" t="s">
        <v>29</v>
      </c>
      <c r="BH2" t="s">
        <v>10</v>
      </c>
      <c r="BI2" t="s">
        <v>11</v>
      </c>
    </row>
    <row r="3" spans="1:61" x14ac:dyDescent="0.25">
      <c r="A3">
        <v>24</v>
      </c>
      <c r="B3" s="1">
        <v>100000000</v>
      </c>
      <c r="E3" cm="1">
        <f t="array" ref="E3:E27">_xlfn.SEQUENCE(Planned_Duration+1,1,0,1)</f>
        <v>0</v>
      </c>
      <c r="F3" s="2" cm="1">
        <f t="array" ref="F3:F27">sigmoid(t_planned/MAX(t_planned),BAC,PV_Truncation)</f>
        <v>0</v>
      </c>
      <c r="G3" s="8" cm="1">
        <f t="array" ref="G3:G30">_xlfn.SEQUENCE(Post_BCP_Planned_Duration+1,1,0,1)</f>
        <v>0</v>
      </c>
      <c r="H3" s="23" cm="1">
        <f t="array" aca="1" ref="H3:H30" ca="1">_xlfn.LET(
    _xlpm.t, t_rebaselined,
    _xlpm.bcp, BCP_Period,
    _xlpm.finish, Post_BCP_Planned_Duration,
    _xlpm.origDur, MAX(t_planned),
    _xlpm.truncation, PV_Truncation,
    _xlpm.acAtBCP,
        _xlfn.XLOOKUP(
            _xlpm.bcp,
            Cumulative_EVM[t],
            Cumulative_EVM[AC],
            NA(),
            -1
        ),
    _xlpm.esAtBCP,
        _xlfn.XLOOKUP(
            _xlpm.bcp,
            Cumulative_EVM[t],
            Cumulative_EVM[ES],
            NA(),
            -1
        ),
    _xlpm.startPct,
        MAX(0, MIN(1, _xlpm.esAtBCP/_xlpm.origDur)),
    _xlpm.elapsedPct,
        (_xlpm.t-_xlpm.bcp)/(_xlpm.finish-_xlpm.bcp),
    _xlpm.curvePct,
        _xlpm.startPct+(1-_xlpm.startPct)*_xlpm.elapsedPct,
    _xlpm.expitStart,
        expit(2*_xlpm.truncation*_xlpm.startPct-_xlpm.truncation),
    _xlpm.expitCurrent,
        expit(2*_xlpm.truncation*_xlpm.curvePct-_xlpm.truncation),
    _xlpm.expitEnd,
        expit(_xlpm.truncation),
    _xlpm.remainingPct,
        IF(
            ABS(_xlpm.expitEnd-_xlpm.expitStart)&lt;0.000000000001,
            _xlpm.elapsedPct,
            (_xlpm.expitCurrent-_xlpm.expitStart)/
            (_xlpm.expitEnd-_xlpm.expitStart)
        ),
    _xlpm.originalPV,
        sigmoid(
            _xlpm.t/_xlpm.origDur,
            BAC,
            _xlpm.truncation
        ),
    _xlpm.postBCPPV,
        _xlpm.acAtBCP+
        (BCP_BAC-_xlpm.acAtBCP)*_xlpm.remainingPct,
    IF(
        _xlpm.t&lt;_xlpm.bcp,
        _xlpm.originalPV,
        IF(
            _xlpm.t&lt;=_xlpm.finish,
            _xlpm.postBCPPV,
            NA()
        )
    )
)</f>
        <v>0</v>
      </c>
      <c r="I3">
        <f>IF(ROW(Cumulative_EVM[[#This Row],[t]])-ROW(Cumulative_EVM[[#Headers],[t]])-1&lt;=Actual_Duration,ROW(Cumulative_EVM[[#This Row],[t]])-ROW(Cumulative_EVM[[#Headers],[t]])-1,Actual_Duration)</f>
        <v>0</v>
      </c>
      <c r="J3" s="1">
        <f>IF(AND(Cumulative_EVM[[#This Row],[t]]=E3,Cumulative_EVM[[#This Row],[t]]&lt;=Actual_Duration),F3,NA())</f>
        <v>0</v>
      </c>
      <c r="K3" cm="1">
        <f t="array" ref="K3">sigmoid(Cumulative_EVM[[#This Row],[t]]/MAX(Cumulative_EVM[t]),BAC,EV_Truncation)</f>
        <v>0</v>
      </c>
      <c r="L3" cm="1">
        <f t="array" ref="L3">sigmoid(Cumulative_EVM[[#This Row],[t]]/MAX(Cumulative_EVM[t]),Actual_Cost,AC_Truncation)</f>
        <v>0</v>
      </c>
      <c r="M3" s="5">
        <f>IFERROR(Cumulative_EVM[[#This Row],[EV]]/Cumulative_EVM[[#This Row],[AC]],1)</f>
        <v>1</v>
      </c>
      <c r="N3" s="5">
        <f>IFERROR(Cumulative_EVM[[#This Row],[EV]]/Cumulative_EVM[[#This Row],[PV]],1)</f>
        <v>1</v>
      </c>
      <c r="O3">
        <f>_xlfn.XLOOKUP(Cumulative_EVM[[#This Row],[EV]],Cumulative_EVM[PV],Cumulative_EVM[t],0,-1,1)</f>
        <v>0</v>
      </c>
      <c r="P3">
        <f>_xlfn.XLOOKUP(Cumulative_EVM[[#This Row],[EV]],Cumulative_EVM[PV],Cumulative_EVM[t],0,1,1)</f>
        <v>0</v>
      </c>
      <c r="Q3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</v>
      </c>
      <c r="R3">
        <f>Cumulative_EVM[[#This Row],[ES Month Before]]+Cumulative_EVM[[#This Row],[ES Fraction]]</f>
        <v>0</v>
      </c>
      <c r="S3" cm="1">
        <f t="array" ref="S3">IF(Cumulative_EVM[[#This Row],[t]:[t]]&lt;=Time__now,Cumulative_EVM[[#This Row],[t]],NA())</f>
        <v>0</v>
      </c>
      <c r="T3" cm="1">
        <f t="array" ref="T3">IF(Cumulative_EVM[[#This Row],[t]:[t]]&lt;=Time__now,Cumulative_EVM[[#This Row],[PV]],NA())</f>
        <v>0</v>
      </c>
      <c r="U3" cm="1">
        <f t="array" ref="U3">IF(Cumulative_EVM[[#This Row],[t]:[t]]&lt;=Time__now,Cumulative_EVM[[#This Row],[EV]],NA())</f>
        <v>0</v>
      </c>
      <c r="V3" cm="1">
        <f t="array" ref="V3">IF(Cumulative_EVM[[#This Row],[t]:[t]]&lt;=Time__now,Cumulative_EVM[[#This Row],[AC]],NA())</f>
        <v>0</v>
      </c>
      <c r="W3" t="e" cm="1">
        <f t="array" ref="W3">IF(Cumulative_EVM[[#This Row],[t]:[t]]&gt;=Time__now,Cumulative_EVM[[#This Row],[t]],NA())</f>
        <v>#N/A</v>
      </c>
      <c r="X3" t="e" cm="1">
        <f t="array" ref="X3">IF(Cumulative_EVM[[#This Row],[t]:[t]]&gt;=Time__now,Cumulative_EVM[[#This Row],[PV]],NA())</f>
        <v>#N/A</v>
      </c>
      <c r="Y3" t="e" cm="1">
        <f t="array" ref="Y3">IF(Cumulative_EVM[[#This Row],[t]:[t]]&gt;=Time__now,Cumulative_EVM[[#This Row],[EV]],NA())</f>
        <v>#N/A</v>
      </c>
      <c r="Z3" t="e" cm="1">
        <f t="array" ref="Z3">IF(Cumulative_EVM[[#This Row],[t]:[t]]&gt;=Time__now,Cumulative_EVM[[#This Row],[AC]],NA())</f>
        <v>#N/A</v>
      </c>
      <c r="AA3" s="21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3">
        <f>IF(Cumulative_EVM[[#This Row],[t]]&gt;=BCP_Period,BCP_BAC,BAC)</f>
        <v>100000000</v>
      </c>
      <c r="AC3" s="1">
        <f>IF(Cumulative_EVM[[#This Row],[t]]&lt;=BCP_Period,Cumulative_EVM[[#This Row],[PV]],NA())</f>
        <v>0</v>
      </c>
      <c r="AD3" s="2" t="e" cm="1">
        <f t="array" aca="1" ref="AD3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  <c r="AN3">
        <v>0</v>
      </c>
      <c r="AO3" s="1">
        <f>BAC</f>
        <v>100000000</v>
      </c>
      <c r="AR3">
        <v>0</v>
      </c>
      <c r="AS3">
        <f>_xlfn.XLOOKUP(Time__now,Cumulative_EVM[t],Cumulative_EVM[AC])</f>
        <v>64999999.999999985</v>
      </c>
      <c r="AV3">
        <f>CV_Label_Time</f>
        <v>1.5</v>
      </c>
      <c r="AW3">
        <f>_xlfn.XLOOKUP(Time__now,Cumulative_EVM[t],Cumulative_EVM[AC])</f>
        <v>64999999.999999985</v>
      </c>
      <c r="AZ3">
        <v>0</v>
      </c>
      <c r="BA3">
        <f>_xlfn.XLOOKUP(Time__now,Cumulative_EVM[t],Cumulative_EVM[EV])</f>
        <v>49999999.999999993</v>
      </c>
      <c r="BD3">
        <v>0</v>
      </c>
      <c r="BE3">
        <f>MAX(L:L)</f>
        <v>130000000</v>
      </c>
      <c r="BI3" s="1"/>
    </row>
    <row r="4" spans="1:61" x14ac:dyDescent="0.25">
      <c r="E4">
        <v>1</v>
      </c>
      <c r="F4" s="2">
        <v>347097.34666395112</v>
      </c>
      <c r="G4" s="8">
        <v>1</v>
      </c>
      <c r="H4" s="2">
        <f ca="1"/>
        <v>347097.34666395112</v>
      </c>
      <c r="I4">
        <f>IF(ROW(Cumulative_EVM[[#This Row],[t]])-ROW(Cumulative_EVM[[#Headers],[t]])-1&lt;=Actual_Duration,ROW(Cumulative_EVM[[#This Row],[t]])-ROW(Cumulative_EVM[[#Headers],[t]])-1,Actual_Duration)</f>
        <v>1</v>
      </c>
      <c r="J4" s="1">
        <f>IF(AND(Cumulative_EVM[[#This Row],[t]]=E4,Cumulative_EVM[[#This Row],[t]]&lt;=Actual_Duration),F4,NA())</f>
        <v>347097.34666395112</v>
      </c>
      <c r="K4" s="1" cm="1">
        <f t="array" ref="K4">sigmoid(Cumulative_EVM[[#This Row],[t]]/MAX(Cumulative_EVM[t]),BAC,EV_Truncation)</f>
        <v>1478455.6243997603</v>
      </c>
      <c r="L4" s="1" cm="1">
        <f t="array" ref="L4">sigmoid(Cumulative_EVM[[#This Row],[t]]/MAX(Cumulative_EVM[t]),Actual_Cost,AC_Truncation)</f>
        <v>1421622.7547118734</v>
      </c>
      <c r="M4" s="5">
        <f>IFERROR(Cumulative_EVM[[#This Row],[EV]]/Cumulative_EVM[[#This Row],[AC]],1)</f>
        <v>1.0399774620232536</v>
      </c>
      <c r="N4" s="5">
        <f>IFERROR(Cumulative_EVM[[#This Row],[EV]]/Cumulative_EVM[[#This Row],[PV]],1)</f>
        <v>4.2594840859764771</v>
      </c>
      <c r="O4">
        <f>_xlfn.XLOOKUP(Cumulative_EVM[[#This Row],[EV]],Cumulative_EVM[PV],Cumulative_EVM[t],0,-1,1)</f>
        <v>2</v>
      </c>
      <c r="P4">
        <f>_xlfn.XLOOKUP(Cumulative_EVM[[#This Row],[EV]],Cumulative_EVM[PV],Cumulative_EVM[t],0,1,1)</f>
        <v>3</v>
      </c>
      <c r="Q4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0.77979029419419155</v>
      </c>
      <c r="R4">
        <f>Cumulative_EVM[[#This Row],[ES Month Before]]+Cumulative_EVM[[#This Row],[ES Fraction]]</f>
        <v>2.7797902941941914</v>
      </c>
      <c r="S4" s="7" cm="1">
        <f t="array" ref="S4">IF(Cumulative_EVM[[#This Row],[t]:[t]]&lt;=Time__now,Cumulative_EVM[[#This Row],[t]],NA())</f>
        <v>1</v>
      </c>
      <c r="T4" s="7" cm="1">
        <f t="array" ref="T4">IF(Cumulative_EVM[[#This Row],[t]:[t]]&lt;=Time__now,Cumulative_EVM[[#This Row],[PV]],NA())</f>
        <v>347097.34666395112</v>
      </c>
      <c r="U4" cm="1">
        <f t="array" ref="U4">IF(Cumulative_EVM[[#This Row],[t]:[t]]&lt;=Time__now,Cumulative_EVM[[#This Row],[EV]],NA())</f>
        <v>1478455.6243997603</v>
      </c>
      <c r="V4" cm="1">
        <f t="array" ref="V4">IF(Cumulative_EVM[[#This Row],[t]:[t]]&lt;=Time__now,Cumulative_EVM[[#This Row],[AC]],NA())</f>
        <v>1421622.7547118734</v>
      </c>
      <c r="W4" s="7" t="e" cm="1">
        <f t="array" ref="W4">IF(Cumulative_EVM[[#This Row],[t]:[t]]&gt;=Time__now,Cumulative_EVM[[#This Row],[t]],NA())</f>
        <v>#N/A</v>
      </c>
      <c r="X4" s="7" t="e" cm="1">
        <f t="array" ref="X4">IF(Cumulative_EVM[[#This Row],[t]:[t]]&gt;=Time__now,Cumulative_EVM[[#This Row],[PV]],NA())</f>
        <v>#N/A</v>
      </c>
      <c r="Y4" t="e" cm="1">
        <f t="array" ref="Y4">IF(Cumulative_EVM[[#This Row],[t]:[t]]&gt;=Time__now,Cumulative_EVM[[#This Row],[EV]],NA())</f>
        <v>#N/A</v>
      </c>
      <c r="Z4" t="e" cm="1">
        <f t="array" ref="Z4">IF(Cumulative_EVM[[#This Row],[t]:[t]]&gt;=Time__now,Cumulative_EVM[[#This Row],[AC]],NA())</f>
        <v>#N/A</v>
      </c>
      <c r="AA4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4">
        <f>IF(Cumulative_EVM[[#This Row],[t]]&gt;=BCP_Period,BCP_BAC,BAC)</f>
        <v>100000000</v>
      </c>
      <c r="AC4" s="1">
        <f>IF(Cumulative_EVM[[#This Row],[t]]&lt;=BCP_Period,Cumulative_EVM[[#This Row],[PV]],NA())</f>
        <v>347097.34666395112</v>
      </c>
      <c r="AD4" s="2" t="e" cm="1">
        <f t="array" aca="1" ref="AD4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  <c r="AG4" s="1">
        <f t="shared" ref="AG4:AG28" si="0">J4-J3</f>
        <v>347097.34666395112</v>
      </c>
      <c r="AH4" s="1">
        <f t="shared" ref="AH4:AH28" si="1">K4-K3</f>
        <v>1478455.6243997603</v>
      </c>
      <c r="AI4" s="1">
        <f t="shared" ref="AI4:AI28" si="2">L4-L3</f>
        <v>1421622.7547118734</v>
      </c>
      <c r="AJ4" s="5">
        <f>AH4/AI4</f>
        <v>1.0399774620232536</v>
      </c>
      <c r="AK4" s="5">
        <f>AH4/AG4</f>
        <v>4.2594840859764771</v>
      </c>
      <c r="AM4" t="s">
        <v>77</v>
      </c>
      <c r="AN4">
        <f>AN5/2</f>
        <v>12</v>
      </c>
      <c r="AO4" s="1">
        <f>BAC</f>
        <v>100000000</v>
      </c>
      <c r="AQ4" t="s">
        <v>36</v>
      </c>
      <c r="AR4">
        <f>AR5/2</f>
        <v>7.5</v>
      </c>
      <c r="AS4">
        <f>_xlfn.XLOOKUP(Time__now,Cumulative_EVM[t],Cumulative_EVM[AC])</f>
        <v>64999999.999999985</v>
      </c>
      <c r="AU4" t="s">
        <v>34</v>
      </c>
      <c r="AV4">
        <f>CV_Label_Time</f>
        <v>1.5</v>
      </c>
      <c r="AW4">
        <f>AVERAGE(AW3,AW5)</f>
        <v>57499999.999999985</v>
      </c>
      <c r="AY4" t="s">
        <v>41</v>
      </c>
      <c r="AZ4">
        <f>AR20</f>
        <v>7.5</v>
      </c>
      <c r="BA4">
        <f>_xlfn.XLOOKUP(Time__now,Cumulative_EVM[t],Cumulative_EVM[EV])</f>
        <v>49999999.999999993</v>
      </c>
      <c r="BC4" t="s">
        <v>25</v>
      </c>
      <c r="BD4">
        <f>BD5/2</f>
        <v>15</v>
      </c>
      <c r="BE4">
        <f>MAX(L:L)</f>
        <v>130000000</v>
      </c>
      <c r="BI4" s="1"/>
    </row>
    <row r="5" spans="1:61" x14ac:dyDescent="0.25">
      <c r="A5" t="s">
        <v>70</v>
      </c>
      <c r="B5" t="s">
        <v>71</v>
      </c>
      <c r="E5">
        <v>2</v>
      </c>
      <c r="F5" s="2">
        <v>869063.31807220192</v>
      </c>
      <c r="G5" s="8">
        <v>2</v>
      </c>
      <c r="H5" s="2">
        <f ca="1"/>
        <v>869063.31807220192</v>
      </c>
      <c r="I5">
        <f>IF(ROW(Cumulative_EVM[[#This Row],[t]])-ROW(Cumulative_EVM[[#Headers],[t]])-1&lt;=Actual_Duration,ROW(Cumulative_EVM[[#This Row],[t]])-ROW(Cumulative_EVM[[#Headers],[t]])-1,Actual_Duration)</f>
        <v>2</v>
      </c>
      <c r="J5" s="1">
        <f>IF(AND(Cumulative_EVM[[#This Row],[t]]=E5,Cumulative_EVM[[#This Row],[t]]&lt;=Actual_Duration),F5,NA())</f>
        <v>869063.31807220192</v>
      </c>
      <c r="K5" s="1" cm="1">
        <f t="array" ref="K5">sigmoid(Cumulative_EVM[[#This Row],[t]]/MAX(Cumulative_EVM[t]),BAC,EV_Truncation)</f>
        <v>3174155.8634039946</v>
      </c>
      <c r="L5" s="1" cm="1">
        <f t="array" ref="L5">sigmoid(Cumulative_EVM[[#This Row],[t]]/MAX(Cumulative_EVM[t]),Actual_Cost,AC_Truncation)</f>
        <v>3118418.5797024793</v>
      </c>
      <c r="M5" s="5">
        <f>IFERROR(Cumulative_EVM[[#This Row],[EV]]/Cumulative_EVM[[#This Row],[AC]],1)</f>
        <v>1.017873573504309</v>
      </c>
      <c r="N5" s="5">
        <f>IFERROR(Cumulative_EVM[[#This Row],[EV]]/Cumulative_EVM[[#This Row],[PV]],1)</f>
        <v>3.6523873432433667</v>
      </c>
      <c r="O5">
        <f>_xlfn.XLOOKUP(Cumulative_EVM[[#This Row],[EV]],Cumulative_EVM[PV],Cumulative_EVM[t],0,-1,1)</f>
        <v>4</v>
      </c>
      <c r="P5">
        <f>_xlfn.XLOOKUP(Cumulative_EVM[[#This Row],[EV]],Cumulative_EVM[PV],Cumulative_EVM[t],0,1,1)</f>
        <v>5</v>
      </c>
      <c r="Q5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0.2110245574657478</v>
      </c>
      <c r="R5">
        <f>Cumulative_EVM[[#This Row],[ES Month Before]]+Cumulative_EVM[[#This Row],[ES Fraction]]</f>
        <v>4.2110245574657474</v>
      </c>
      <c r="S5" s="7" cm="1">
        <f t="array" ref="S5">IF(Cumulative_EVM[[#This Row],[t]:[t]]&lt;=Time__now,Cumulative_EVM[[#This Row],[t]],NA())</f>
        <v>2</v>
      </c>
      <c r="T5" s="7" cm="1">
        <f t="array" ref="T5">IF(Cumulative_EVM[[#This Row],[t]:[t]]&lt;=Time__now,Cumulative_EVM[[#This Row],[PV]],NA())</f>
        <v>869063.31807220192</v>
      </c>
      <c r="U5" cm="1">
        <f t="array" ref="U5">IF(Cumulative_EVM[[#This Row],[t]:[t]]&lt;=Time__now,Cumulative_EVM[[#This Row],[EV]],NA())</f>
        <v>3174155.8634039946</v>
      </c>
      <c r="V5" cm="1">
        <f t="array" ref="V5">IF(Cumulative_EVM[[#This Row],[t]:[t]]&lt;=Time__now,Cumulative_EVM[[#This Row],[AC]],NA())</f>
        <v>3118418.5797024793</v>
      </c>
      <c r="W5" s="7" t="e" cm="1">
        <f t="array" ref="W5">IF(Cumulative_EVM[[#This Row],[t]:[t]]&gt;=Time__now,Cumulative_EVM[[#This Row],[t]],NA())</f>
        <v>#N/A</v>
      </c>
      <c r="X5" s="7" t="e" cm="1">
        <f t="array" ref="X5">IF(Cumulative_EVM[[#This Row],[t]:[t]]&gt;=Time__now,Cumulative_EVM[[#This Row],[PV]],NA())</f>
        <v>#N/A</v>
      </c>
      <c r="Y5" t="e" cm="1">
        <f t="array" ref="Y5">IF(Cumulative_EVM[[#This Row],[t]:[t]]&gt;=Time__now,Cumulative_EVM[[#This Row],[EV]],NA())</f>
        <v>#N/A</v>
      </c>
      <c r="Z5" t="e" cm="1">
        <f t="array" ref="Z5">IF(Cumulative_EVM[[#This Row],[t]:[t]]&gt;=Time__now,Cumulative_EVM[[#This Row],[AC]],NA())</f>
        <v>#N/A</v>
      </c>
      <c r="AA5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5">
        <f>IF(Cumulative_EVM[[#This Row],[t]]&gt;=BCP_Period,BCP_BAC,BAC)</f>
        <v>100000000</v>
      </c>
      <c r="AC5" s="1">
        <f>IF(Cumulative_EVM[[#This Row],[t]]&lt;=BCP_Period,Cumulative_EVM[[#This Row],[PV]],NA())</f>
        <v>869063.31807220192</v>
      </c>
      <c r="AD5" s="2" t="e" cm="1">
        <f t="array" aca="1" ref="AD5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  <c r="AG5" s="1">
        <f t="shared" si="0"/>
        <v>521965.9714082508</v>
      </c>
      <c r="AH5" s="1">
        <f t="shared" si="1"/>
        <v>1695700.2390042343</v>
      </c>
      <c r="AI5" s="1">
        <f t="shared" si="2"/>
        <v>1696795.8249906059</v>
      </c>
      <c r="AJ5" s="5">
        <f t="shared" ref="AJ5:AJ28" si="3">AH5/AI5</f>
        <v>0.99935432067297925</v>
      </c>
      <c r="AK5" s="5">
        <f t="shared" ref="AK5:AK22" si="4">AH5/AG5</f>
        <v>3.2486796685793111</v>
      </c>
      <c r="AN5">
        <f>Planned_Duration</f>
        <v>24</v>
      </c>
      <c r="AO5" s="1">
        <f>BAC</f>
        <v>100000000</v>
      </c>
      <c r="AR5">
        <f>Time__now</f>
        <v>15</v>
      </c>
      <c r="AS5">
        <f>_xlfn.XLOOKUP(Time__now,Cumulative_EVM[t],Cumulative_EVM[AC])</f>
        <v>64999999.999999985</v>
      </c>
      <c r="AV5">
        <f>CV_Label_Time</f>
        <v>1.5</v>
      </c>
      <c r="AW5">
        <f>_xlfn.XLOOKUP(Time__now,Cumulative_EVM[t],Cumulative_EVM[EV])</f>
        <v>49999999.999999993</v>
      </c>
      <c r="AZ5" s="6">
        <f>_xlfn.XLOOKUP(BA5,Cumulative_EVM[EV],Cumulative_EVM[ES])</f>
        <v>12</v>
      </c>
      <c r="BA5">
        <f>_xlfn.XLOOKUP(Time__now,Cumulative_EVM[t],Cumulative_EVM[EV])</f>
        <v>49999999.999999993</v>
      </c>
      <c r="BD5">
        <f>MAX(I:I)</f>
        <v>30</v>
      </c>
      <c r="BE5">
        <f>MAX(L:L)</f>
        <v>130000000</v>
      </c>
    </row>
    <row r="6" spans="1:61" x14ac:dyDescent="0.25">
      <c r="A6">
        <v>12</v>
      </c>
      <c r="B6" s="20">
        <v>0.25</v>
      </c>
      <c r="E6">
        <v>3</v>
      </c>
      <c r="F6" s="2">
        <v>1650545.6099969603</v>
      </c>
      <c r="G6" s="8">
        <v>3</v>
      </c>
      <c r="H6" s="2">
        <f ca="1"/>
        <v>1650545.6099969603</v>
      </c>
      <c r="I6">
        <f>IF(ROW(Cumulative_EVM[[#This Row],[t]])-ROW(Cumulative_EVM[[#Headers],[t]])-1&lt;=Actual_Duration,ROW(Cumulative_EVM[[#This Row],[t]])-ROW(Cumulative_EVM[[#Headers],[t]])-1,Actual_Duration)</f>
        <v>3</v>
      </c>
      <c r="J6" s="1">
        <f>IF(AND(Cumulative_EVM[[#This Row],[t]]=E6,Cumulative_EVM[[#This Row],[t]]&lt;=Actual_Duration),F6,NA())</f>
        <v>1650545.6099969603</v>
      </c>
      <c r="K6" s="1" cm="1">
        <f t="array" ref="K6">sigmoid(Cumulative_EVM[[#This Row],[t]]/MAX(Cumulative_EVM[t]),BAC,EV_Truncation)</f>
        <v>5109699.1571174189</v>
      </c>
      <c r="L6" s="1" cm="1">
        <f t="array" ref="L6">sigmoid(Cumulative_EVM[[#This Row],[t]]/MAX(Cumulative_EVM[t]),Actual_Cost,AC_Truncation)</f>
        <v>5134061.7544289101</v>
      </c>
      <c r="M6" s="5">
        <f>IFERROR(Cumulative_EVM[[#This Row],[EV]]/Cumulative_EVM[[#This Row],[AC]],1)</f>
        <v>0.99525471284203493</v>
      </c>
      <c r="N6" s="5">
        <f>IFERROR(Cumulative_EVM[[#This Row],[EV]]/Cumulative_EVM[[#This Row],[PV]],1)</f>
        <v>3.0957636833354938</v>
      </c>
      <c r="O6">
        <f>_xlfn.XLOOKUP(Cumulative_EVM[[#This Row],[EV]],Cumulative_EVM[PV],Cumulative_EVM[t],0,-1,1)</f>
        <v>5</v>
      </c>
      <c r="P6">
        <f>_xlfn.XLOOKUP(Cumulative_EVM[[#This Row],[EV]],Cumulative_EVM[PV],Cumulative_EVM[t],0,1,1)</f>
        <v>6</v>
      </c>
      <c r="Q6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0.23529847676522489</v>
      </c>
      <c r="R6">
        <f>Cumulative_EVM[[#This Row],[ES Month Before]]+Cumulative_EVM[[#This Row],[ES Fraction]]</f>
        <v>5.2352984767652249</v>
      </c>
      <c r="S6" s="7" cm="1">
        <f t="array" ref="S6">IF(Cumulative_EVM[[#This Row],[t]:[t]]&lt;=Time__now,Cumulative_EVM[[#This Row],[t]],NA())</f>
        <v>3</v>
      </c>
      <c r="T6" s="7" cm="1">
        <f t="array" ref="T6">IF(Cumulative_EVM[[#This Row],[t]:[t]]&lt;=Time__now,Cumulative_EVM[[#This Row],[PV]],NA())</f>
        <v>1650545.6099969603</v>
      </c>
      <c r="U6" cm="1">
        <f t="array" ref="U6">IF(Cumulative_EVM[[#This Row],[t]:[t]]&lt;=Time__now,Cumulative_EVM[[#This Row],[EV]],NA())</f>
        <v>5109699.1571174189</v>
      </c>
      <c r="V6" cm="1">
        <f t="array" ref="V6">IF(Cumulative_EVM[[#This Row],[t]:[t]]&lt;=Time__now,Cumulative_EVM[[#This Row],[AC]],NA())</f>
        <v>5134061.7544289101</v>
      </c>
      <c r="W6" s="7" t="e" cm="1">
        <f t="array" ref="W6">IF(Cumulative_EVM[[#This Row],[t]:[t]]&gt;=Time__now,Cumulative_EVM[[#This Row],[t]],NA())</f>
        <v>#N/A</v>
      </c>
      <c r="X6" s="7" t="e" cm="1">
        <f t="array" ref="X6">IF(Cumulative_EVM[[#This Row],[t]:[t]]&gt;=Time__now,Cumulative_EVM[[#This Row],[PV]],NA())</f>
        <v>#N/A</v>
      </c>
      <c r="Y6" t="e" cm="1">
        <f t="array" ref="Y6">IF(Cumulative_EVM[[#This Row],[t]:[t]]&gt;=Time__now,Cumulative_EVM[[#This Row],[EV]],NA())</f>
        <v>#N/A</v>
      </c>
      <c r="Z6" t="e" cm="1">
        <f t="array" ref="Z6">IF(Cumulative_EVM[[#This Row],[t]:[t]]&gt;=Time__now,Cumulative_EVM[[#This Row],[AC]],NA())</f>
        <v>#N/A</v>
      </c>
      <c r="AA6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6">
        <f>IF(Cumulative_EVM[[#This Row],[t]]&gt;=BCP_Period,BCP_BAC,BAC)</f>
        <v>100000000</v>
      </c>
      <c r="AC6" s="1">
        <f>IF(Cumulative_EVM[[#This Row],[t]]&lt;=BCP_Period,Cumulative_EVM[[#This Row],[PV]],NA())</f>
        <v>1650545.6099969603</v>
      </c>
      <c r="AD6" s="2" t="e" cm="1">
        <f t="array" aca="1" ref="AD6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  <c r="AG6" s="1">
        <f t="shared" si="0"/>
        <v>781482.29192475835</v>
      </c>
      <c r="AH6" s="1">
        <f t="shared" si="1"/>
        <v>1935543.2937134244</v>
      </c>
      <c r="AI6" s="1">
        <f t="shared" si="2"/>
        <v>2015643.1747264308</v>
      </c>
      <c r="AJ6" s="5">
        <f t="shared" si="3"/>
        <v>0.96026088247297148</v>
      </c>
      <c r="AK6" s="5">
        <f t="shared" si="4"/>
        <v>2.4767589921279751</v>
      </c>
      <c r="AM6" t="s">
        <v>78</v>
      </c>
      <c r="AN6">
        <f>Planned_Duration</f>
        <v>24</v>
      </c>
      <c r="AO6" s="1">
        <f>BAC/2</f>
        <v>50000000</v>
      </c>
      <c r="AQ6" t="s">
        <v>79</v>
      </c>
      <c r="AR6">
        <f>Time__now</f>
        <v>15</v>
      </c>
      <c r="AS6">
        <v>16000000</v>
      </c>
      <c r="AY6" t="s">
        <v>51</v>
      </c>
      <c r="AZ6" s="6">
        <f>AZ5</f>
        <v>12</v>
      </c>
      <c r="BA6">
        <f>AS6</f>
        <v>16000000</v>
      </c>
      <c r="BC6" t="s">
        <v>24</v>
      </c>
      <c r="BD6">
        <f>MAX(I:I)</f>
        <v>30</v>
      </c>
      <c r="BE6">
        <f>MAX(L:L)/2</f>
        <v>65000000</v>
      </c>
      <c r="BG6" s="19" t="s">
        <v>69</v>
      </c>
      <c r="BH6" s="14"/>
      <c r="BI6" s="14"/>
    </row>
    <row r="7" spans="1:61" x14ac:dyDescent="0.25">
      <c r="A7" t="s">
        <v>75</v>
      </c>
      <c r="B7" t="s">
        <v>74</v>
      </c>
      <c r="E7">
        <v>4</v>
      </c>
      <c r="F7" s="2">
        <v>2812886.9401066336</v>
      </c>
      <c r="G7" s="8">
        <v>4</v>
      </c>
      <c r="H7" s="2">
        <f ca="1"/>
        <v>2812886.9401066336</v>
      </c>
      <c r="I7">
        <f>IF(ROW(Cumulative_EVM[[#This Row],[t]])-ROW(Cumulative_EVM[[#Headers],[t]])-1&lt;=Actual_Duration,ROW(Cumulative_EVM[[#This Row],[t]])-ROW(Cumulative_EVM[[#Headers],[t]])-1,Actual_Duration)</f>
        <v>4</v>
      </c>
      <c r="J7" s="1">
        <f>IF(AND(Cumulative_EVM[[#This Row],[t]]=E7,Cumulative_EVM[[#This Row],[t]]&lt;=Actual_Duration),F7,NA())</f>
        <v>2812886.9401066336</v>
      </c>
      <c r="K7" s="1" cm="1">
        <f t="array" ref="K7">sigmoid(Cumulative_EVM[[#This Row],[t]]/MAX(Cumulative_EVM[t]),BAC,EV_Truncation)</f>
        <v>7306928.251828202</v>
      </c>
      <c r="L7" s="1" cm="1">
        <f t="array" ref="L7">sigmoid(Cumulative_EVM[[#This Row],[t]]/MAX(Cumulative_EVM[t]),Actual_Cost,AC_Truncation)</f>
        <v>7515012.0934158238</v>
      </c>
      <c r="M7" s="5">
        <f>IFERROR(Cumulative_EVM[[#This Row],[EV]]/Cumulative_EVM[[#This Row],[AC]],1)</f>
        <v>0.97231091061451103</v>
      </c>
      <c r="N7" s="5">
        <f>IFERROR(Cumulative_EVM[[#This Row],[EV]]/Cumulative_EVM[[#This Row],[PV]],1)</f>
        <v>2.5976615510722247</v>
      </c>
      <c r="O7">
        <f>_xlfn.XLOOKUP(Cumulative_EVM[[#This Row],[EV]],Cumulative_EVM[PV],Cumulative_EVM[t],0,-1,1)</f>
        <v>6</v>
      </c>
      <c r="P7">
        <f>_xlfn.XLOOKUP(Cumulative_EVM[[#This Row],[EV]],Cumulative_EVM[PV],Cumulative_EVM[t],0,1,1)</f>
        <v>7</v>
      </c>
      <c r="Q7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8.3910012210391655E-2</v>
      </c>
      <c r="R7">
        <f>Cumulative_EVM[[#This Row],[ES Month Before]]+Cumulative_EVM[[#This Row],[ES Fraction]]</f>
        <v>6.0839100122103913</v>
      </c>
      <c r="S7" s="7" cm="1">
        <f t="array" ref="S7">IF(Cumulative_EVM[[#This Row],[t]:[t]]&lt;=Time__now,Cumulative_EVM[[#This Row],[t]],NA())</f>
        <v>4</v>
      </c>
      <c r="T7" s="7" cm="1">
        <f t="array" ref="T7">IF(Cumulative_EVM[[#This Row],[t]:[t]]&lt;=Time__now,Cumulative_EVM[[#This Row],[PV]],NA())</f>
        <v>2812886.9401066336</v>
      </c>
      <c r="U7" cm="1">
        <f t="array" ref="U7">IF(Cumulative_EVM[[#This Row],[t]:[t]]&lt;=Time__now,Cumulative_EVM[[#This Row],[EV]],NA())</f>
        <v>7306928.251828202</v>
      </c>
      <c r="V7" cm="1">
        <f t="array" ref="V7">IF(Cumulative_EVM[[#This Row],[t]:[t]]&lt;=Time__now,Cumulative_EVM[[#This Row],[AC]],NA())</f>
        <v>7515012.0934158238</v>
      </c>
      <c r="W7" s="7" t="e" cm="1">
        <f t="array" ref="W7">IF(Cumulative_EVM[[#This Row],[t]:[t]]&gt;=Time__now,Cumulative_EVM[[#This Row],[t]],NA())</f>
        <v>#N/A</v>
      </c>
      <c r="X7" s="7" t="e" cm="1">
        <f t="array" ref="X7">IF(Cumulative_EVM[[#This Row],[t]:[t]]&gt;=Time__now,Cumulative_EVM[[#This Row],[PV]],NA())</f>
        <v>#N/A</v>
      </c>
      <c r="Y7" t="e" cm="1">
        <f t="array" ref="Y7">IF(Cumulative_EVM[[#This Row],[t]:[t]]&gt;=Time__now,Cumulative_EVM[[#This Row],[EV]],NA())</f>
        <v>#N/A</v>
      </c>
      <c r="Z7" t="e" cm="1">
        <f t="array" ref="Z7">IF(Cumulative_EVM[[#This Row],[t]:[t]]&gt;=Time__now,Cumulative_EVM[[#This Row],[AC]],NA())</f>
        <v>#N/A</v>
      </c>
      <c r="AA7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7">
        <f>IF(Cumulative_EVM[[#This Row],[t]]&gt;=BCP_Period,BCP_BAC,BAC)</f>
        <v>100000000</v>
      </c>
      <c r="AC7" s="1">
        <f>IF(Cumulative_EVM[[#This Row],[t]]&lt;=BCP_Period,Cumulative_EVM[[#This Row],[PV]],NA())</f>
        <v>2812886.9401066336</v>
      </c>
      <c r="AD7" s="2" t="e" cm="1">
        <f t="array" aca="1" ref="AD7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  <c r="AG7" s="1">
        <f t="shared" si="0"/>
        <v>1162341.3301096733</v>
      </c>
      <c r="AH7" s="1">
        <f t="shared" si="1"/>
        <v>2197229.0947107831</v>
      </c>
      <c r="AI7" s="1">
        <f t="shared" si="2"/>
        <v>2380950.3389869137</v>
      </c>
      <c r="AJ7" s="5">
        <f t="shared" si="3"/>
        <v>0.92283701122707862</v>
      </c>
      <c r="AK7" s="5">
        <f t="shared" si="4"/>
        <v>1.8903475578068469</v>
      </c>
      <c r="AN7">
        <f>Planned_Duration</f>
        <v>24</v>
      </c>
      <c r="AO7" s="1">
        <v>0</v>
      </c>
      <c r="AQ7">
        <f>AR7</f>
        <v>15</v>
      </c>
      <c r="AR7">
        <f>Time__now</f>
        <v>15</v>
      </c>
      <c r="AS7">
        <v>0</v>
      </c>
      <c r="AU7" s="16" t="s">
        <v>40</v>
      </c>
      <c r="AV7" s="11"/>
      <c r="AW7" s="11"/>
      <c r="AY7" s="6">
        <f>AZ7</f>
        <v>12</v>
      </c>
      <c r="AZ7" s="6">
        <f>AZ5</f>
        <v>12</v>
      </c>
      <c r="BA7">
        <v>0</v>
      </c>
      <c r="BD7">
        <f>MAX(I:I)</f>
        <v>30</v>
      </c>
      <c r="BE7">
        <v>0</v>
      </c>
      <c r="BH7">
        <f>Planned_Duration</f>
        <v>24</v>
      </c>
      <c r="BI7" s="1">
        <f>BAC</f>
        <v>100000000</v>
      </c>
    </row>
    <row r="8" spans="1:61" x14ac:dyDescent="0.25">
      <c r="A8">
        <f>ROUND(Planned_Duration*1.14,0)</f>
        <v>27</v>
      </c>
      <c r="B8">
        <f>BAC*(1+BCP_Percent)</f>
        <v>125000000</v>
      </c>
      <c r="E8">
        <v>5</v>
      </c>
      <c r="F8" s="2">
        <v>4524862.6818683473</v>
      </c>
      <c r="G8" s="8">
        <v>5</v>
      </c>
      <c r="H8" s="2">
        <f ca="1"/>
        <v>4524862.6818683473</v>
      </c>
      <c r="I8">
        <f>IF(ROW(Cumulative_EVM[[#This Row],[t]])-ROW(Cumulative_EVM[[#Headers],[t]])-1&lt;=Actual_Duration,ROW(Cumulative_EVM[[#This Row],[t]])-ROW(Cumulative_EVM[[#Headers],[t]])-1,Actual_Duration)</f>
        <v>5</v>
      </c>
      <c r="J8" s="1">
        <f>IF(AND(Cumulative_EVM[[#This Row],[t]]=E8,Cumulative_EVM[[#This Row],[t]]&lt;=Actual_Duration),F8,NA())</f>
        <v>4524862.6818683473</v>
      </c>
      <c r="K8" s="1" cm="1">
        <f t="array" ref="K8">sigmoid(Cumulative_EVM[[#This Row],[t]]/MAX(Cumulative_EVM[t]),BAC,EV_Truncation)</f>
        <v>9785751.0093946029</v>
      </c>
      <c r="L8" s="1" cm="1">
        <f t="array" ref="L8">sigmoid(Cumulative_EVM[[#This Row],[t]]/MAX(Cumulative_EVM[t]),Actual_Cost,AC_Truncation)</f>
        <v>10308826.551028855</v>
      </c>
      <c r="M8" s="5">
        <f>IFERROR(Cumulative_EVM[[#This Row],[EV]]/Cumulative_EVM[[#This Row],[AC]],1)</f>
        <v>0.9492594487796433</v>
      </c>
      <c r="N8" s="5">
        <f>IFERROR(Cumulative_EVM[[#This Row],[EV]]/Cumulative_EVM[[#This Row],[PV]],1)</f>
        <v>2.1626625374969386</v>
      </c>
      <c r="O8">
        <f>_xlfn.XLOOKUP(Cumulative_EVM[[#This Row],[EV]],Cumulative_EVM[PV],Cumulative_EVM[t],0,-1,1)</f>
        <v>6</v>
      </c>
      <c r="P8">
        <f>_xlfn.XLOOKUP(Cumulative_EVM[[#This Row],[EV]],Cumulative_EVM[PV],Cumulative_EVM[t],0,1,1)</f>
        <v>7</v>
      </c>
      <c r="Q8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0.78528725263032118</v>
      </c>
      <c r="R8">
        <f>Cumulative_EVM[[#This Row],[ES Month Before]]+Cumulative_EVM[[#This Row],[ES Fraction]]</f>
        <v>6.7852872526303214</v>
      </c>
      <c r="S8" s="7" cm="1">
        <f t="array" ref="S8">IF(Cumulative_EVM[[#This Row],[t]:[t]]&lt;=Time__now,Cumulative_EVM[[#This Row],[t]],NA())</f>
        <v>5</v>
      </c>
      <c r="T8" s="7" cm="1">
        <f t="array" ref="T8">IF(Cumulative_EVM[[#This Row],[t]:[t]]&lt;=Time__now,Cumulative_EVM[[#This Row],[PV]],NA())</f>
        <v>4524862.6818683473</v>
      </c>
      <c r="U8" cm="1">
        <f t="array" ref="U8">IF(Cumulative_EVM[[#This Row],[t]:[t]]&lt;=Time__now,Cumulative_EVM[[#This Row],[EV]],NA())</f>
        <v>9785751.0093946029</v>
      </c>
      <c r="V8" cm="1">
        <f t="array" ref="V8">IF(Cumulative_EVM[[#This Row],[t]:[t]]&lt;=Time__now,Cumulative_EVM[[#This Row],[AC]],NA())</f>
        <v>10308826.551028855</v>
      </c>
      <c r="W8" s="7" t="e" cm="1">
        <f t="array" ref="W8">IF(Cumulative_EVM[[#This Row],[t]:[t]]&gt;=Time__now,Cumulative_EVM[[#This Row],[t]],NA())</f>
        <v>#N/A</v>
      </c>
      <c r="X8" s="7" t="e" cm="1">
        <f t="array" ref="X8">IF(Cumulative_EVM[[#This Row],[t]:[t]]&gt;=Time__now,Cumulative_EVM[[#This Row],[PV]],NA())</f>
        <v>#N/A</v>
      </c>
      <c r="Y8" t="e" cm="1">
        <f t="array" ref="Y8">IF(Cumulative_EVM[[#This Row],[t]:[t]]&gt;=Time__now,Cumulative_EVM[[#This Row],[EV]],NA())</f>
        <v>#N/A</v>
      </c>
      <c r="Z8" t="e" cm="1">
        <f t="array" ref="Z8">IF(Cumulative_EVM[[#This Row],[t]:[t]]&gt;=Time__now,Cumulative_EVM[[#This Row],[AC]],NA())</f>
        <v>#N/A</v>
      </c>
      <c r="AA8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8">
        <f>IF(Cumulative_EVM[[#This Row],[t]]&gt;=BCP_Period,BCP_BAC,BAC)</f>
        <v>100000000</v>
      </c>
      <c r="AC8" s="1">
        <f>IF(Cumulative_EVM[[#This Row],[t]]&lt;=BCP_Period,Cumulative_EVM[[#This Row],[PV]],NA())</f>
        <v>4524862.6818683473</v>
      </c>
      <c r="AD8" s="2" t="e" cm="1">
        <f t="array" aca="1" ref="AD8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  <c r="AG8" s="1">
        <f t="shared" si="0"/>
        <v>1711975.7417617138</v>
      </c>
      <c r="AH8" s="1">
        <f t="shared" si="1"/>
        <v>2478822.7575664008</v>
      </c>
      <c r="AI8" s="1">
        <f t="shared" si="2"/>
        <v>2793814.4576130314</v>
      </c>
      <c r="AJ8" s="5">
        <f t="shared" si="3"/>
        <v>0.88725389433493307</v>
      </c>
      <c r="AK8" s="5">
        <f t="shared" si="4"/>
        <v>1.4479310057370094</v>
      </c>
      <c r="AU8" t="s">
        <v>30</v>
      </c>
      <c r="AV8" t="s">
        <v>10</v>
      </c>
      <c r="AW8" t="s">
        <v>33</v>
      </c>
      <c r="BG8" t="s">
        <v>69</v>
      </c>
      <c r="BH8">
        <f>Post_BCP_Planned_Duration</f>
        <v>27</v>
      </c>
      <c r="BI8" s="1">
        <f>AVERAGE(BAC,BCP_BAC)</f>
        <v>112500000</v>
      </c>
    </row>
    <row r="9" spans="1:61" x14ac:dyDescent="0.25">
      <c r="E9">
        <v>6</v>
      </c>
      <c r="F9" s="2">
        <v>7010371.6545108147</v>
      </c>
      <c r="G9" s="8">
        <v>6</v>
      </c>
      <c r="H9" s="2">
        <f ca="1"/>
        <v>7010371.6545108147</v>
      </c>
      <c r="I9">
        <f>IF(ROW(Cumulative_EVM[[#This Row],[t]])-ROW(Cumulative_EVM[[#Headers],[t]])-1&lt;=Actual_Duration,ROW(Cumulative_EVM[[#This Row],[t]])-ROW(Cumulative_EVM[[#Headers],[t]])-1,Actual_Duration)</f>
        <v>6</v>
      </c>
      <c r="J9" s="1">
        <f>IF(AND(Cumulative_EVM[[#This Row],[t]]=E9,Cumulative_EVM[[#This Row],[t]]&lt;=Actual_Duration),F9,NA())</f>
        <v>7010371.6545108147</v>
      </c>
      <c r="K9" s="1" cm="1">
        <f t="array" ref="K9">sigmoid(Cumulative_EVM[[#This Row],[t]]/MAX(Cumulative_EVM[t]),BAC,EV_Truncation)</f>
        <v>12562701.762166522</v>
      </c>
      <c r="L9" s="1" cm="1">
        <f t="array" ref="L9">sigmoid(Cumulative_EVM[[#This Row],[t]]/MAX(Cumulative_EVM[t]),Actual_Cost,AC_Truncation)</f>
        <v>13561618.082506869</v>
      </c>
      <c r="M9" s="5">
        <f>IFERROR(Cumulative_EVM[[#This Row],[EV]]/Cumulative_EVM[[#This Row],[AC]],1)</f>
        <v>0.92634239408136343</v>
      </c>
      <c r="N9" s="5">
        <f>IFERROR(Cumulative_EVM[[#This Row],[EV]]/Cumulative_EVM[[#This Row],[PV]],1)</f>
        <v>1.792016512289055</v>
      </c>
      <c r="O9">
        <f>_xlfn.XLOOKUP(Cumulative_EVM[[#This Row],[EV]],Cumulative_EVM[PV],Cumulative_EVM[t],0,-1,1)</f>
        <v>7</v>
      </c>
      <c r="P9">
        <f>_xlfn.XLOOKUP(Cumulative_EVM[[#This Row],[EV]],Cumulative_EVM[PV],Cumulative_EVM[t],0,1,1)</f>
        <v>8</v>
      </c>
      <c r="Q9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0.41358964945354604</v>
      </c>
      <c r="R9">
        <f>Cumulative_EVM[[#This Row],[ES Month Before]]+Cumulative_EVM[[#This Row],[ES Fraction]]</f>
        <v>7.413589649453546</v>
      </c>
      <c r="S9" s="7" cm="1">
        <f t="array" ref="S9">IF(Cumulative_EVM[[#This Row],[t]:[t]]&lt;=Time__now,Cumulative_EVM[[#This Row],[t]],NA())</f>
        <v>6</v>
      </c>
      <c r="T9" s="7" cm="1">
        <f t="array" ref="T9">IF(Cumulative_EVM[[#This Row],[t]:[t]]&lt;=Time__now,Cumulative_EVM[[#This Row],[PV]],NA())</f>
        <v>7010371.6545108147</v>
      </c>
      <c r="U9" cm="1">
        <f t="array" ref="U9">IF(Cumulative_EVM[[#This Row],[t]:[t]]&lt;=Time__now,Cumulative_EVM[[#This Row],[EV]],NA())</f>
        <v>12562701.762166522</v>
      </c>
      <c r="V9" cm="1">
        <f t="array" ref="V9">IF(Cumulative_EVM[[#This Row],[t]:[t]]&lt;=Time__now,Cumulative_EVM[[#This Row],[AC]],NA())</f>
        <v>13561618.082506869</v>
      </c>
      <c r="W9" s="7" t="e" cm="1">
        <f t="array" ref="W9">IF(Cumulative_EVM[[#This Row],[t]:[t]]&gt;=Time__now,Cumulative_EVM[[#This Row],[t]],NA())</f>
        <v>#N/A</v>
      </c>
      <c r="X9" s="7" t="e" cm="1">
        <f t="array" ref="X9">IF(Cumulative_EVM[[#This Row],[t]:[t]]&gt;=Time__now,Cumulative_EVM[[#This Row],[PV]],NA())</f>
        <v>#N/A</v>
      </c>
      <c r="Y9" t="e" cm="1">
        <f t="array" ref="Y9">IF(Cumulative_EVM[[#This Row],[t]:[t]]&gt;=Time__now,Cumulative_EVM[[#This Row],[EV]],NA())</f>
        <v>#N/A</v>
      </c>
      <c r="Z9" t="e" cm="1">
        <f t="array" ref="Z9">IF(Cumulative_EVM[[#This Row],[t]:[t]]&gt;=Time__now,Cumulative_EVM[[#This Row],[AC]],NA())</f>
        <v>#N/A</v>
      </c>
      <c r="AA9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9">
        <f>IF(Cumulative_EVM[[#This Row],[t]]&gt;=BCP_Period,BCP_BAC,BAC)</f>
        <v>100000000</v>
      </c>
      <c r="AC9" s="1">
        <f>IF(Cumulative_EVM[[#This Row],[t]]&lt;=BCP_Period,Cumulative_EVM[[#This Row],[PV]],NA())</f>
        <v>7010371.6545108147</v>
      </c>
      <c r="AD9" s="2" t="e" cm="1">
        <f t="array" aca="1" ref="AD9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  <c r="AG9" s="1">
        <f t="shared" si="0"/>
        <v>2485508.9726424674</v>
      </c>
      <c r="AH9" s="1">
        <f t="shared" si="1"/>
        <v>2776950.7527719196</v>
      </c>
      <c r="AI9" s="1">
        <f t="shared" si="2"/>
        <v>3252791.5314780138</v>
      </c>
      <c r="AJ9" s="5">
        <f t="shared" si="3"/>
        <v>0.85371310331410011</v>
      </c>
      <c r="AK9" s="5">
        <f t="shared" si="4"/>
        <v>1.1172563782055496</v>
      </c>
      <c r="AQ9" s="10" t="s">
        <v>54</v>
      </c>
      <c r="AR9" s="10"/>
      <c r="AS9" s="10"/>
      <c r="AV9">
        <f>SV_Label_Time</f>
        <v>3</v>
      </c>
      <c r="AW9">
        <f>_xlfn.XLOOKUP(Time__now,Cumulative_EVM[t],Cumulative_EVM[PV])</f>
        <v>78106207.430224136</v>
      </c>
      <c r="AY9" s="17" t="s">
        <v>20</v>
      </c>
      <c r="AZ9" s="12"/>
      <c r="BA9" s="12"/>
      <c r="BH9">
        <f>Post_BCP_Planned_Duration</f>
        <v>27</v>
      </c>
      <c r="BI9" s="1">
        <f>BCP_BAC</f>
        <v>125000000</v>
      </c>
    </row>
    <row r="10" spans="1:61" x14ac:dyDescent="0.25">
      <c r="A10" t="s">
        <v>7</v>
      </c>
      <c r="B10" t="s">
        <v>12</v>
      </c>
      <c r="E10">
        <v>7</v>
      </c>
      <c r="F10" s="2">
        <v>10544593.489371434</v>
      </c>
      <c r="G10" s="8">
        <v>7</v>
      </c>
      <c r="H10" s="2">
        <f ca="1"/>
        <v>10544593.489371434</v>
      </c>
      <c r="I10">
        <f>IF(ROW(Cumulative_EVM[[#This Row],[t]])-ROW(Cumulative_EVM[[#Headers],[t]])-1&lt;=Actual_Duration,ROW(Cumulative_EVM[[#This Row],[t]])-ROW(Cumulative_EVM[[#Headers],[t]])-1,Actual_Duration)</f>
        <v>7</v>
      </c>
      <c r="J10" s="1">
        <f>IF(AND(Cumulative_EVM[[#This Row],[t]]=E10,Cumulative_EVM[[#This Row],[t]]&lt;=Actual_Duration),F10,NA())</f>
        <v>10544593.489371434</v>
      </c>
      <c r="K10" s="1" cm="1">
        <f t="array" ref="K10">sigmoid(Cumulative_EVM[[#This Row],[t]]/MAX(Cumulative_EVM[t]),BAC,EV_Truncation)</f>
        <v>15649287.697149307</v>
      </c>
      <c r="L10" s="1" cm="1">
        <f t="array" ref="L10">sigmoid(Cumulative_EVM[[#This Row],[t]]/MAX(Cumulative_EVM[t]),Actual_Cost,AC_Truncation)</f>
        <v>17314562.952971365</v>
      </c>
      <c r="M10" s="5">
        <f>IFERROR(Cumulative_EVM[[#This Row],[EV]]/Cumulative_EVM[[#This Row],[AC]],1)</f>
        <v>0.90382227606061061</v>
      </c>
      <c r="N10" s="5">
        <f>IFERROR(Cumulative_EVM[[#This Row],[EV]]/Cumulative_EVM[[#This Row],[PV]],1)</f>
        <v>1.484105358155648</v>
      </c>
      <c r="O10">
        <f>_xlfn.XLOOKUP(Cumulative_EVM[[#This Row],[EV]],Cumulative_EVM[PV],Cumulative_EVM[t],0,-1,1)</f>
        <v>8</v>
      </c>
      <c r="P10">
        <f>_xlfn.XLOOKUP(Cumulative_EVM[[#This Row],[EV]],Cumulative_EVM[PV],Cumulative_EVM[t],0,1,1)</f>
        <v>9</v>
      </c>
      <c r="Q10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3.4808397812152954E-2</v>
      </c>
      <c r="R10">
        <f>Cumulative_EVM[[#This Row],[ES Month Before]]+Cumulative_EVM[[#This Row],[ES Fraction]]</f>
        <v>8.0348083978121529</v>
      </c>
      <c r="S10" s="7" cm="1">
        <f t="array" ref="S10">IF(Cumulative_EVM[[#This Row],[t]:[t]]&lt;=Time__now,Cumulative_EVM[[#This Row],[t]],NA())</f>
        <v>7</v>
      </c>
      <c r="T10" s="7" cm="1">
        <f t="array" ref="T10">IF(Cumulative_EVM[[#This Row],[t]:[t]]&lt;=Time__now,Cumulative_EVM[[#This Row],[PV]],NA())</f>
        <v>10544593.489371434</v>
      </c>
      <c r="U10" cm="1">
        <f t="array" ref="U10">IF(Cumulative_EVM[[#This Row],[t]:[t]]&lt;=Time__now,Cumulative_EVM[[#This Row],[EV]],NA())</f>
        <v>15649287.697149307</v>
      </c>
      <c r="V10" cm="1">
        <f t="array" ref="V10">IF(Cumulative_EVM[[#This Row],[t]:[t]]&lt;=Time__now,Cumulative_EVM[[#This Row],[AC]],NA())</f>
        <v>17314562.952971365</v>
      </c>
      <c r="W10" s="7" t="e" cm="1">
        <f t="array" ref="W10">IF(Cumulative_EVM[[#This Row],[t]:[t]]&gt;=Time__now,Cumulative_EVM[[#This Row],[t]],NA())</f>
        <v>#N/A</v>
      </c>
      <c r="X10" s="7" t="e" cm="1">
        <f t="array" ref="X10">IF(Cumulative_EVM[[#This Row],[t]:[t]]&gt;=Time__now,Cumulative_EVM[[#This Row],[PV]],NA())</f>
        <v>#N/A</v>
      </c>
      <c r="Y10" t="e" cm="1">
        <f t="array" ref="Y10">IF(Cumulative_EVM[[#This Row],[t]:[t]]&gt;=Time__now,Cumulative_EVM[[#This Row],[EV]],NA())</f>
        <v>#N/A</v>
      </c>
      <c r="Z10" t="e" cm="1">
        <f t="array" ref="Z10">IF(Cumulative_EVM[[#This Row],[t]:[t]]&gt;=Time__now,Cumulative_EVM[[#This Row],[AC]],NA())</f>
        <v>#N/A</v>
      </c>
      <c r="AA10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10">
        <f>IF(Cumulative_EVM[[#This Row],[t]]&gt;=BCP_Period,BCP_BAC,BAC)</f>
        <v>100000000</v>
      </c>
      <c r="AC10" s="1">
        <f>IF(Cumulative_EVM[[#This Row],[t]]&lt;=BCP_Period,Cumulative_EVM[[#This Row],[PV]],NA())</f>
        <v>10544593.489371434</v>
      </c>
      <c r="AD10" s="2" t="e" cm="1">
        <f t="array" aca="1" ref="AD10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  <c r="AG10" s="1">
        <f t="shared" si="0"/>
        <v>3534221.8348606192</v>
      </c>
      <c r="AH10" s="1">
        <f t="shared" si="1"/>
        <v>3086585.9349827841</v>
      </c>
      <c r="AI10" s="1">
        <f t="shared" si="2"/>
        <v>3752944.8704644963</v>
      </c>
      <c r="AJ10" s="5">
        <f t="shared" si="3"/>
        <v>0.82244371860457466</v>
      </c>
      <c r="AK10" s="5">
        <f t="shared" si="4"/>
        <v>0.87334244402474281</v>
      </c>
      <c r="AQ10" t="s">
        <v>30</v>
      </c>
      <c r="AR10" t="s">
        <v>10</v>
      </c>
      <c r="AS10" t="s">
        <v>13</v>
      </c>
      <c r="AU10" t="s">
        <v>35</v>
      </c>
      <c r="AV10">
        <f>SV_Label_Time</f>
        <v>3</v>
      </c>
      <c r="AW10">
        <f>AVERAGE(AW9,AW11)</f>
        <v>64053103.71511206</v>
      </c>
      <c r="AY10" t="s">
        <v>30</v>
      </c>
      <c r="AZ10" t="s">
        <v>10</v>
      </c>
      <c r="BA10" t="s">
        <v>13</v>
      </c>
    </row>
    <row r="11" spans="1:61" x14ac:dyDescent="0.25">
      <c r="A11">
        <v>30</v>
      </c>
      <c r="B11" s="1">
        <f>BAC+B13</f>
        <v>130000000</v>
      </c>
      <c r="E11">
        <v>8</v>
      </c>
      <c r="F11" s="2">
        <v>15424087.634018205</v>
      </c>
      <c r="G11" s="8">
        <v>8</v>
      </c>
      <c r="H11" s="2">
        <f ca="1"/>
        <v>15424087.634018205</v>
      </c>
      <c r="I11">
        <f>IF(ROW(Cumulative_EVM[[#This Row],[t]])-ROW(Cumulative_EVM[[#Headers],[t]])-1&lt;=Actual_Duration,ROW(Cumulative_EVM[[#This Row],[t]])-ROW(Cumulative_EVM[[#Headers],[t]])-1,Actual_Duration)</f>
        <v>8</v>
      </c>
      <c r="J11" s="1">
        <f>IF(AND(Cumulative_EVM[[#This Row],[t]]=E11,Cumulative_EVM[[#This Row],[t]]&lt;=Actual_Duration),F11,NA())</f>
        <v>15424087.634018205</v>
      </c>
      <c r="K11" s="1" cm="1">
        <f t="array" ref="K11">sigmoid(Cumulative_EVM[[#This Row],[t]]/MAX(Cumulative_EVM[t]),BAC,EV_Truncation)</f>
        <v>19050213.950931884</v>
      </c>
      <c r="L11" s="1" cm="1">
        <f t="array" ref="L11">sigmoid(Cumulative_EVM[[#This Row],[t]]/MAX(Cumulative_EVM[t]),Actual_Cost,AC_Truncation)</f>
        <v>21599479.306924</v>
      </c>
      <c r="M11" s="5">
        <f>IFERROR(Cumulative_EVM[[#This Row],[EV]]/Cumulative_EVM[[#This Row],[AC]],1)</f>
        <v>0.88197561062618235</v>
      </c>
      <c r="N11" s="5">
        <f>IFERROR(Cumulative_EVM[[#This Row],[EV]]/Cumulative_EVM[[#This Row],[PV]],1)</f>
        <v>1.2350950281763291</v>
      </c>
      <c r="O11">
        <f>_xlfn.XLOOKUP(Cumulative_EVM[[#This Row],[EV]],Cumulative_EVM[PV],Cumulative_EVM[t],0,-1,1)</f>
        <v>8</v>
      </c>
      <c r="P11">
        <f>_xlfn.XLOOKUP(Cumulative_EVM[[#This Row],[EV]],Cumulative_EVM[PV],Cumulative_EVM[t],0,1,1)</f>
        <v>9</v>
      </c>
      <c r="Q11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0.56047785067790556</v>
      </c>
      <c r="R11">
        <f>Cumulative_EVM[[#This Row],[ES Month Before]]+Cumulative_EVM[[#This Row],[ES Fraction]]</f>
        <v>8.5604778506779056</v>
      </c>
      <c r="S11" s="7" cm="1">
        <f t="array" ref="S11">IF(Cumulative_EVM[[#This Row],[t]:[t]]&lt;=Time__now,Cumulative_EVM[[#This Row],[t]],NA())</f>
        <v>8</v>
      </c>
      <c r="T11" s="7" cm="1">
        <f t="array" ref="T11">IF(Cumulative_EVM[[#This Row],[t]:[t]]&lt;=Time__now,Cumulative_EVM[[#This Row],[PV]],NA())</f>
        <v>15424087.634018205</v>
      </c>
      <c r="U11" cm="1">
        <f t="array" ref="U11">IF(Cumulative_EVM[[#This Row],[t]:[t]]&lt;=Time__now,Cumulative_EVM[[#This Row],[EV]],NA())</f>
        <v>19050213.950931884</v>
      </c>
      <c r="V11" cm="1">
        <f t="array" ref="V11">IF(Cumulative_EVM[[#This Row],[t]:[t]]&lt;=Time__now,Cumulative_EVM[[#This Row],[AC]],NA())</f>
        <v>21599479.306924</v>
      </c>
      <c r="W11" s="7" t="e" cm="1">
        <f t="array" ref="W11">IF(Cumulative_EVM[[#This Row],[t]:[t]]&gt;=Time__now,Cumulative_EVM[[#This Row],[t]],NA())</f>
        <v>#N/A</v>
      </c>
      <c r="X11" s="7" t="e" cm="1">
        <f t="array" ref="X11">IF(Cumulative_EVM[[#This Row],[t]:[t]]&gt;=Time__now,Cumulative_EVM[[#This Row],[PV]],NA())</f>
        <v>#N/A</v>
      </c>
      <c r="Y11" t="e" cm="1">
        <f t="array" ref="Y11">IF(Cumulative_EVM[[#This Row],[t]:[t]]&gt;=Time__now,Cumulative_EVM[[#This Row],[EV]],NA())</f>
        <v>#N/A</v>
      </c>
      <c r="Z11" t="e" cm="1">
        <f t="array" ref="Z11">IF(Cumulative_EVM[[#This Row],[t]:[t]]&gt;=Time__now,Cumulative_EVM[[#This Row],[AC]],NA())</f>
        <v>#N/A</v>
      </c>
      <c r="AA11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11">
        <f>IF(Cumulative_EVM[[#This Row],[t]]&gt;=BCP_Period,BCP_BAC,BAC)</f>
        <v>100000000</v>
      </c>
      <c r="AC11" s="1">
        <f>IF(Cumulative_EVM[[#This Row],[t]]&lt;=BCP_Period,Cumulative_EVM[[#This Row],[PV]],NA())</f>
        <v>15424087.634018205</v>
      </c>
      <c r="AD11" s="2" t="e" cm="1">
        <f t="array" aca="1" ref="AD11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  <c r="AG11" s="1">
        <f t="shared" si="0"/>
        <v>4879494.1446467713</v>
      </c>
      <c r="AH11" s="1">
        <f t="shared" si="1"/>
        <v>3400926.2537825778</v>
      </c>
      <c r="AI11" s="1">
        <f t="shared" si="2"/>
        <v>4284916.3539526351</v>
      </c>
      <c r="AJ11" s="5">
        <f t="shared" si="3"/>
        <v>0.79369723300324924</v>
      </c>
      <c r="AK11" s="5">
        <f t="shared" si="4"/>
        <v>0.69698336609619449</v>
      </c>
      <c r="AR11">
        <v>0</v>
      </c>
      <c r="AS11">
        <f>_xlfn.XLOOKUP(Time__now,Cumulative_EVM[t],Cumulative_EVM[EV])+$AS$24</f>
        <v>50299999.999999993</v>
      </c>
      <c r="AV11">
        <f>SV_Label_Time</f>
        <v>3</v>
      </c>
      <c r="AW11">
        <f>_xlfn.XLOOKUP(Time__now,Cumulative_EVM[t],Cumulative_EVM[EV])</f>
        <v>49999999.999999993</v>
      </c>
      <c r="AZ11">
        <f>Time__now</f>
        <v>15</v>
      </c>
      <c r="BA11">
        <f>_xlfn.XLOOKUP(Time__now,Cumulative_EVM[t],Cumulative_EVM[EV])-10*AS24</f>
        <v>46999999.999999993</v>
      </c>
      <c r="BG11" s="19" t="s">
        <v>67</v>
      </c>
      <c r="BH11" s="19"/>
      <c r="BI11" s="19"/>
    </row>
    <row r="12" spans="1:61" x14ac:dyDescent="0.25">
      <c r="A12" t="s">
        <v>31</v>
      </c>
      <c r="B12" t="s">
        <v>32</v>
      </c>
      <c r="E12">
        <v>9</v>
      </c>
      <c r="F12" s="2">
        <v>21893792.569775846</v>
      </c>
      <c r="G12" s="8">
        <v>9</v>
      </c>
      <c r="H12" s="2">
        <f ca="1"/>
        <v>21893792.569775846</v>
      </c>
      <c r="I12">
        <f>IF(ROW(Cumulative_EVM[[#This Row],[t]])-ROW(Cumulative_EVM[[#Headers],[t]])-1&lt;=Actual_Duration,ROW(Cumulative_EVM[[#This Row],[t]])-ROW(Cumulative_EVM[[#Headers],[t]])-1,Actual_Duration)</f>
        <v>9</v>
      </c>
      <c r="J12" s="1">
        <f>IF(AND(Cumulative_EVM[[#This Row],[t]]=E12,Cumulative_EVM[[#This Row],[t]]&lt;=Actual_Duration),F12,NA())</f>
        <v>21893792.569775846</v>
      </c>
      <c r="K12" s="1" cm="1">
        <f t="array" ref="K12">sigmoid(Cumulative_EVM[[#This Row],[t]]/MAX(Cumulative_EVM[t]),BAC,EV_Truncation)</f>
        <v>22761636.822139148</v>
      </c>
      <c r="L12" s="1" cm="1">
        <f t="array" ref="L12">sigmoid(Cumulative_EVM[[#This Row],[t]]/MAX(Cumulative_EVM[t]),Actual_Cost,AC_Truncation)</f>
        <v>26433696.950413063</v>
      </c>
      <c r="M12" s="5">
        <f>IFERROR(Cumulative_EVM[[#This Row],[EV]]/Cumulative_EVM[[#This Row],[AC]],1)</f>
        <v>0.86108412549473012</v>
      </c>
      <c r="N12" s="5">
        <f>IFERROR(Cumulative_EVM[[#This Row],[EV]]/Cumulative_EVM[[#This Row],[PV]],1)</f>
        <v>1.0396388268317365</v>
      </c>
      <c r="O12">
        <f>_xlfn.XLOOKUP(Cumulative_EVM[[#This Row],[EV]],Cumulative_EVM[PV],Cumulative_EVM[t],0,-1,1)</f>
        <v>9</v>
      </c>
      <c r="P12">
        <f>_xlfn.XLOOKUP(Cumulative_EVM[[#This Row],[EV]],Cumulative_EVM[PV],Cumulative_EVM[t],0,1,1)</f>
        <v>10</v>
      </c>
      <c r="Q12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0.10670755093360736</v>
      </c>
      <c r="R12">
        <f>Cumulative_EVM[[#This Row],[ES Month Before]]+Cumulative_EVM[[#This Row],[ES Fraction]]</f>
        <v>9.1067075509336082</v>
      </c>
      <c r="S12" s="7" cm="1">
        <f t="array" ref="S12">IF(Cumulative_EVM[[#This Row],[t]:[t]]&lt;=Time__now,Cumulative_EVM[[#This Row],[t]],NA())</f>
        <v>9</v>
      </c>
      <c r="T12" s="7" cm="1">
        <f t="array" ref="T12">IF(Cumulative_EVM[[#This Row],[t]:[t]]&lt;=Time__now,Cumulative_EVM[[#This Row],[PV]],NA())</f>
        <v>21893792.569775846</v>
      </c>
      <c r="U12" cm="1">
        <f t="array" ref="U12">IF(Cumulative_EVM[[#This Row],[t]:[t]]&lt;=Time__now,Cumulative_EVM[[#This Row],[EV]],NA())</f>
        <v>22761636.822139148</v>
      </c>
      <c r="V12" cm="1">
        <f t="array" ref="V12">IF(Cumulative_EVM[[#This Row],[t]:[t]]&lt;=Time__now,Cumulative_EVM[[#This Row],[AC]],NA())</f>
        <v>26433696.950413063</v>
      </c>
      <c r="W12" s="7" t="e" cm="1">
        <f t="array" ref="W12">IF(Cumulative_EVM[[#This Row],[t]:[t]]&gt;=Time__now,Cumulative_EVM[[#This Row],[t]],NA())</f>
        <v>#N/A</v>
      </c>
      <c r="X12" s="7" t="e" cm="1">
        <f t="array" ref="X12">IF(Cumulative_EVM[[#This Row],[t]:[t]]&gt;=Time__now,Cumulative_EVM[[#This Row],[PV]],NA())</f>
        <v>#N/A</v>
      </c>
      <c r="Y12" t="e" cm="1">
        <f t="array" ref="Y12">IF(Cumulative_EVM[[#This Row],[t]:[t]]&gt;=Time__now,Cumulative_EVM[[#This Row],[EV]],NA())</f>
        <v>#N/A</v>
      </c>
      <c r="Z12" t="e" cm="1">
        <f t="array" ref="Z12">IF(Cumulative_EVM[[#This Row],[t]:[t]]&gt;=Time__now,Cumulative_EVM[[#This Row],[AC]],NA())</f>
        <v>#N/A</v>
      </c>
      <c r="AA12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12">
        <f>IF(Cumulative_EVM[[#This Row],[t]]&gt;=BCP_Period,BCP_BAC,BAC)</f>
        <v>100000000</v>
      </c>
      <c r="AC12" s="1">
        <f>IF(Cumulative_EVM[[#This Row],[t]]&lt;=BCP_Period,Cumulative_EVM[[#This Row],[PV]],NA())</f>
        <v>21893792.569775846</v>
      </c>
      <c r="AD12" s="2" t="e" cm="1">
        <f t="array" aca="1" ref="AD12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  <c r="AG12" s="1">
        <f t="shared" si="0"/>
        <v>6469704.9357576407</v>
      </c>
      <c r="AH12" s="1">
        <f t="shared" si="1"/>
        <v>3711422.8712072633</v>
      </c>
      <c r="AI12" s="1">
        <f t="shared" si="2"/>
        <v>4834217.6434890628</v>
      </c>
      <c r="AJ12" s="5">
        <f t="shared" si="3"/>
        <v>0.76774012775489553</v>
      </c>
      <c r="AK12" s="5">
        <f t="shared" si="4"/>
        <v>0.57366184517851337</v>
      </c>
      <c r="AQ12" t="s">
        <v>55</v>
      </c>
      <c r="AR12">
        <v>7</v>
      </c>
      <c r="AS12">
        <f>_xlfn.XLOOKUP(Time__now,Cumulative_EVM[t],Cumulative_EVM[EV])+$AS$24</f>
        <v>50299999.999999993</v>
      </c>
      <c r="AZ12">
        <f>AZ5</f>
        <v>12</v>
      </c>
      <c r="BA12">
        <f>_xlfn.XLOOKUP(Time__now,Cumulative_EVM[t],Cumulative_EVM[EV])-10*AS24</f>
        <v>46999999.999999993</v>
      </c>
      <c r="BG12" t="s">
        <v>63</v>
      </c>
      <c r="BH12">
        <f>Post_BCP_Planned_Duration</f>
        <v>27</v>
      </c>
      <c r="BI12" s="1">
        <f>BCP_BAC</f>
        <v>125000000</v>
      </c>
    </row>
    <row r="13" spans="1:61" x14ac:dyDescent="0.25">
      <c r="A13">
        <v>3</v>
      </c>
      <c r="B13" s="1">
        <v>30000000</v>
      </c>
      <c r="E13">
        <v>10</v>
      </c>
      <c r="F13" s="2">
        <v>30026715.167758327</v>
      </c>
      <c r="G13" s="8">
        <v>10</v>
      </c>
      <c r="H13" s="2">
        <f ca="1"/>
        <v>30026715.167758327</v>
      </c>
      <c r="I13">
        <f>IF(ROW(Cumulative_EVM[[#This Row],[t]])-ROW(Cumulative_EVM[[#Headers],[t]])-1&lt;=Actual_Duration,ROW(Cumulative_EVM[[#This Row],[t]])-ROW(Cumulative_EVM[[#Headers],[t]])-1,Actual_Duration)</f>
        <v>10</v>
      </c>
      <c r="J13" s="1">
        <f>IF(AND(Cumulative_EVM[[#This Row],[t]]=E13,Cumulative_EVM[[#This Row],[t]]&lt;=Actual_Duration),F13,NA())</f>
        <v>30026715.167758327</v>
      </c>
      <c r="K13" s="1" cm="1">
        <f t="array" ref="K13">sigmoid(Cumulative_EVM[[#This Row],[t]]/MAX(Cumulative_EVM[t]),BAC,EV_Truncation)</f>
        <v>26769647.004476327</v>
      </c>
      <c r="L13" s="1" cm="1">
        <f t="array" ref="L13">sigmoid(Cumulative_EVM[[#This Row],[t]]/MAX(Cumulative_EVM[t]),Actual_Cost,AC_Truncation)</f>
        <v>31814701.237123687</v>
      </c>
      <c r="M13" s="5">
        <f>IFERROR(Cumulative_EVM[[#This Row],[EV]]/Cumulative_EVM[[#This Row],[AC]],1)</f>
        <v>0.84142380608746925</v>
      </c>
      <c r="N13" s="5">
        <f>IFERROR(Cumulative_EVM[[#This Row],[EV]]/Cumulative_EVM[[#This Row],[PV]],1)</f>
        <v>0.8915276564524337</v>
      </c>
      <c r="O13">
        <f>_xlfn.XLOOKUP(Cumulative_EVM[[#This Row],[EV]],Cumulative_EVM[PV],Cumulative_EVM[t],0,-1,1)</f>
        <v>9</v>
      </c>
      <c r="P13">
        <f>_xlfn.XLOOKUP(Cumulative_EVM[[#This Row],[EV]],Cumulative_EVM[PV],Cumulative_EVM[t],0,1,1)</f>
        <v>10</v>
      </c>
      <c r="Q13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0.5995205752861863</v>
      </c>
      <c r="R13">
        <f>Cumulative_EVM[[#This Row],[ES Month Before]]+Cumulative_EVM[[#This Row],[ES Fraction]]</f>
        <v>9.5995205752861867</v>
      </c>
      <c r="S13" s="7" cm="1">
        <f t="array" ref="S13">IF(Cumulative_EVM[[#This Row],[t]:[t]]&lt;=Time__now,Cumulative_EVM[[#This Row],[t]],NA())</f>
        <v>10</v>
      </c>
      <c r="T13" s="7" cm="1">
        <f t="array" ref="T13">IF(Cumulative_EVM[[#This Row],[t]:[t]]&lt;=Time__now,Cumulative_EVM[[#This Row],[PV]],NA())</f>
        <v>30026715.167758327</v>
      </c>
      <c r="U13" cm="1">
        <f t="array" ref="U13">IF(Cumulative_EVM[[#This Row],[t]:[t]]&lt;=Time__now,Cumulative_EVM[[#This Row],[EV]],NA())</f>
        <v>26769647.004476327</v>
      </c>
      <c r="V13" cm="1">
        <f t="array" ref="V13">IF(Cumulative_EVM[[#This Row],[t]:[t]]&lt;=Time__now,Cumulative_EVM[[#This Row],[AC]],NA())</f>
        <v>31814701.237123687</v>
      </c>
      <c r="W13" s="7" t="e" cm="1">
        <f t="array" ref="W13">IF(Cumulative_EVM[[#This Row],[t]:[t]]&gt;=Time__now,Cumulative_EVM[[#This Row],[t]],NA())</f>
        <v>#N/A</v>
      </c>
      <c r="X13" s="7" t="e" cm="1">
        <f t="array" ref="X13">IF(Cumulative_EVM[[#This Row],[t]:[t]]&gt;=Time__now,Cumulative_EVM[[#This Row],[PV]],NA())</f>
        <v>#N/A</v>
      </c>
      <c r="Y13" t="e" cm="1">
        <f t="array" ref="Y13">IF(Cumulative_EVM[[#This Row],[t]:[t]]&gt;=Time__now,Cumulative_EVM[[#This Row],[EV]],NA())</f>
        <v>#N/A</v>
      </c>
      <c r="Z13" t="e" cm="1">
        <f t="array" ref="Z13">IF(Cumulative_EVM[[#This Row],[t]:[t]]&gt;=Time__now,Cumulative_EVM[[#This Row],[AC]],NA())</f>
        <v>#N/A</v>
      </c>
      <c r="AA13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13">
        <f>IF(Cumulative_EVM[[#This Row],[t]]&gt;=BCP_Period,BCP_BAC,BAC)</f>
        <v>100000000</v>
      </c>
      <c r="AC13" s="1">
        <f>IF(Cumulative_EVM[[#This Row],[t]]&lt;=BCP_Period,Cumulative_EVM[[#This Row],[PV]],NA())</f>
        <v>30026715.167758327</v>
      </c>
      <c r="AD13" s="2" t="e" cm="1">
        <f t="array" aca="1" ref="AD13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  <c r="AG13" s="1">
        <f t="shared" si="0"/>
        <v>8132922.5979824811</v>
      </c>
      <c r="AH13" s="1">
        <f t="shared" si="1"/>
        <v>4008010.1823371798</v>
      </c>
      <c r="AI13" s="1">
        <f t="shared" si="2"/>
        <v>5381004.2867106237</v>
      </c>
      <c r="AJ13" s="5">
        <f t="shared" si="3"/>
        <v>0.74484426489599642</v>
      </c>
      <c r="AK13" s="5">
        <f t="shared" si="4"/>
        <v>0.4928130243525789</v>
      </c>
      <c r="AR13" s="6">
        <f>Time__now</f>
        <v>15</v>
      </c>
      <c r="AS13">
        <f>_xlfn.XLOOKUP(Time__now,Cumulative_EVM[t],Cumulative_EVM[EV])+$AS$24</f>
        <v>50299999.999999993</v>
      </c>
      <c r="BH13">
        <f>Post_BCP_Planned_Duration</f>
        <v>27</v>
      </c>
      <c r="BI13" s="1">
        <f>BCP_BAC</f>
        <v>125000000</v>
      </c>
    </row>
    <row r="14" spans="1:61" x14ac:dyDescent="0.25">
      <c r="E14">
        <v>11</v>
      </c>
      <c r="F14" s="2">
        <v>39592149.822794147</v>
      </c>
      <c r="G14" s="8">
        <v>11</v>
      </c>
      <c r="H14" s="2">
        <f ca="1"/>
        <v>39592149.822794147</v>
      </c>
      <c r="I14">
        <f>IF(ROW(Cumulative_EVM[[#This Row],[t]])-ROW(Cumulative_EVM[[#Headers],[t]])-1&lt;=Actual_Duration,ROW(Cumulative_EVM[[#This Row],[t]])-ROW(Cumulative_EVM[[#Headers],[t]])-1,Actual_Duration)</f>
        <v>11</v>
      </c>
      <c r="J14" s="1">
        <f>IF(AND(Cumulative_EVM[[#This Row],[t]]=E14,Cumulative_EVM[[#This Row],[t]]&lt;=Actual_Duration),F14,NA())</f>
        <v>39592149.822794147</v>
      </c>
      <c r="K14" s="1" cm="1">
        <f t="array" ref="K14">sigmoid(Cumulative_EVM[[#This Row],[t]]/MAX(Cumulative_EVM[t]),BAC,EV_Truncation)</f>
        <v>31049219.71925937</v>
      </c>
      <c r="L14" s="1" cm="1">
        <f t="array" ref="L14">sigmoid(Cumulative_EVM[[#This Row],[t]]/MAX(Cumulative_EVM[t]),Actual_Cost,AC_Truncation)</f>
        <v>37715317.687306345</v>
      </c>
      <c r="M14" s="5">
        <f>IFERROR(Cumulative_EVM[[#This Row],[EV]]/Cumulative_EVM[[#This Row],[AC]],1)</f>
        <v>0.82325223869742059</v>
      </c>
      <c r="N14" s="5">
        <f>IFERROR(Cumulative_EVM[[#This Row],[EV]]/Cumulative_EVM[[#This Row],[PV]],1)</f>
        <v>0.78422666761539661</v>
      </c>
      <c r="O14">
        <f>_xlfn.XLOOKUP(Cumulative_EVM[[#This Row],[EV]],Cumulative_EVM[PV],Cumulative_EVM[t],0,-1,1)</f>
        <v>10</v>
      </c>
      <c r="P14">
        <f>_xlfn.XLOOKUP(Cumulative_EVM[[#This Row],[EV]],Cumulative_EVM[PV],Cumulative_EVM[t],0,1,1)</f>
        <v>11</v>
      </c>
      <c r="Q14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0.10689577508772539</v>
      </c>
      <c r="R14">
        <f>Cumulative_EVM[[#This Row],[ES Month Before]]+Cumulative_EVM[[#This Row],[ES Fraction]]</f>
        <v>10.106895775087725</v>
      </c>
      <c r="S14" s="7" cm="1">
        <f t="array" ref="S14">IF(Cumulative_EVM[[#This Row],[t]:[t]]&lt;=Time__now,Cumulative_EVM[[#This Row],[t]],NA())</f>
        <v>11</v>
      </c>
      <c r="T14" s="7" cm="1">
        <f t="array" ref="T14">IF(Cumulative_EVM[[#This Row],[t]:[t]]&lt;=Time__now,Cumulative_EVM[[#This Row],[PV]],NA())</f>
        <v>39592149.822794147</v>
      </c>
      <c r="U14" cm="1">
        <f t="array" ref="U14">IF(Cumulative_EVM[[#This Row],[t]:[t]]&lt;=Time__now,Cumulative_EVM[[#This Row],[EV]],NA())</f>
        <v>31049219.71925937</v>
      </c>
      <c r="V14" cm="1">
        <f t="array" ref="V14">IF(Cumulative_EVM[[#This Row],[t]:[t]]&lt;=Time__now,Cumulative_EVM[[#This Row],[AC]],NA())</f>
        <v>37715317.687306345</v>
      </c>
      <c r="W14" s="7" t="e" cm="1">
        <f t="array" ref="W14">IF(Cumulative_EVM[[#This Row],[t]:[t]]&gt;=Time__now,Cumulative_EVM[[#This Row],[t]],NA())</f>
        <v>#N/A</v>
      </c>
      <c r="X14" s="7" t="e" cm="1">
        <f t="array" ref="X14">IF(Cumulative_EVM[[#This Row],[t]:[t]]&gt;=Time__now,Cumulative_EVM[[#This Row],[PV]],NA())</f>
        <v>#N/A</v>
      </c>
      <c r="Y14" t="e" cm="1">
        <f t="array" ref="Y14">IF(Cumulative_EVM[[#This Row],[t]:[t]]&gt;=Time__now,Cumulative_EVM[[#This Row],[EV]],NA())</f>
        <v>#N/A</v>
      </c>
      <c r="Z14" t="e" cm="1">
        <f t="array" ref="Z14">IF(Cumulative_EVM[[#This Row],[t]:[t]]&gt;=Time__now,Cumulative_EVM[[#This Row],[AC]],NA())</f>
        <v>#N/A</v>
      </c>
      <c r="AA14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14">
        <f>IF(Cumulative_EVM[[#This Row],[t]]&gt;=BCP_Period,BCP_BAC,BAC)</f>
        <v>100000000</v>
      </c>
      <c r="AC14" s="1">
        <f>IF(Cumulative_EVM[[#This Row],[t]]&lt;=BCP_Period,Cumulative_EVM[[#This Row],[PV]],NA())</f>
        <v>39592149.822794147</v>
      </c>
      <c r="AD14" s="2" t="e" cm="1">
        <f t="array" aca="1" ref="AD14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  <c r="AG14" s="1">
        <f t="shared" si="0"/>
        <v>9565434.6550358199</v>
      </c>
      <c r="AH14" s="1">
        <f t="shared" si="1"/>
        <v>4279572.7147830427</v>
      </c>
      <c r="AI14" s="1">
        <f t="shared" si="2"/>
        <v>5900616.4501826577</v>
      </c>
      <c r="AJ14" s="5">
        <f t="shared" si="3"/>
        <v>0.72527552856796262</v>
      </c>
      <c r="AK14" s="5">
        <f t="shared" si="4"/>
        <v>0.44739971251907706</v>
      </c>
      <c r="AQ14" t="s">
        <v>79</v>
      </c>
      <c r="AR14" s="6">
        <f>Time__now</f>
        <v>15</v>
      </c>
      <c r="AS14">
        <f>AS6</f>
        <v>16000000</v>
      </c>
      <c r="BG14" t="s">
        <v>64</v>
      </c>
      <c r="BH14">
        <f>Post_BCP_Planned_Duration</f>
        <v>27</v>
      </c>
      <c r="BI14" s="1">
        <f>BCP_BAC/2</f>
        <v>62500000</v>
      </c>
    </row>
    <row r="15" spans="1:61" x14ac:dyDescent="0.25">
      <c r="A15" t="s">
        <v>14</v>
      </c>
      <c r="E15">
        <v>12</v>
      </c>
      <c r="F15" s="2">
        <v>49999999.999999993</v>
      </c>
      <c r="G15" s="8">
        <v>12</v>
      </c>
      <c r="H15" s="2">
        <f ca="1"/>
        <v>44080421.651255101</v>
      </c>
      <c r="I15">
        <f>IF(ROW(Cumulative_EVM[[#This Row],[t]])-ROW(Cumulative_EVM[[#Headers],[t]])-1&lt;=Actual_Duration,ROW(Cumulative_EVM[[#This Row],[t]])-ROW(Cumulative_EVM[[#Headers],[t]])-1,Actual_Duration)</f>
        <v>12</v>
      </c>
      <c r="J15" s="1">
        <f>IF(AND(Cumulative_EVM[[#This Row],[t]]=E15,Cumulative_EVM[[#This Row],[t]]&lt;=Actual_Duration),F15,NA())</f>
        <v>49999999.999999993</v>
      </c>
      <c r="K15" s="1" cm="1">
        <f t="array" ref="K15">sigmoid(Cumulative_EVM[[#This Row],[t]]/MAX(Cumulative_EVM[t]),BAC,EV_Truncation)</f>
        <v>35563869.744324185</v>
      </c>
      <c r="L15" s="1" cm="1">
        <f t="array" ref="L15">sigmoid(Cumulative_EVM[[#This Row],[t]]/MAX(Cumulative_EVM[t]),Actual_Cost,AC_Truncation)</f>
        <v>44080421.651255101</v>
      </c>
      <c r="M15" s="5">
        <f>IFERROR(Cumulative_EVM[[#This Row],[EV]]/Cumulative_EVM[[#This Row],[AC]],1)</f>
        <v>0.80679513516657964</v>
      </c>
      <c r="N15" s="5">
        <f>IFERROR(Cumulative_EVM[[#This Row],[EV]]/Cumulative_EVM[[#This Row],[PV]],1)</f>
        <v>0.71127739488648378</v>
      </c>
      <c r="O15">
        <f>_xlfn.XLOOKUP(Cumulative_EVM[[#This Row],[EV]],Cumulative_EVM[PV],Cumulative_EVM[t],0,-1,1)</f>
        <v>10</v>
      </c>
      <c r="P15">
        <f>_xlfn.XLOOKUP(Cumulative_EVM[[#This Row],[EV]],Cumulative_EVM[PV],Cumulative_EVM[t],0,1,1)</f>
        <v>11</v>
      </c>
      <c r="Q15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0.57887119365252959</v>
      </c>
      <c r="R15">
        <f>Cumulative_EVM[[#This Row],[ES Month Before]]+Cumulative_EVM[[#This Row],[ES Fraction]]</f>
        <v>10.57887119365253</v>
      </c>
      <c r="S15" s="7" cm="1">
        <f t="array" ref="S15">IF(Cumulative_EVM[[#This Row],[t]:[t]]&lt;=Time__now,Cumulative_EVM[[#This Row],[t]],NA())</f>
        <v>12</v>
      </c>
      <c r="T15" s="7" cm="1">
        <f t="array" ref="T15">IF(Cumulative_EVM[[#This Row],[t]:[t]]&lt;=Time__now,Cumulative_EVM[[#This Row],[PV]],NA())</f>
        <v>49999999.999999993</v>
      </c>
      <c r="U15" cm="1">
        <f t="array" ref="U15">IF(Cumulative_EVM[[#This Row],[t]:[t]]&lt;=Time__now,Cumulative_EVM[[#This Row],[EV]],NA())</f>
        <v>35563869.744324185</v>
      </c>
      <c r="V15" cm="1">
        <f t="array" ref="V15">IF(Cumulative_EVM[[#This Row],[t]:[t]]&lt;=Time__now,Cumulative_EVM[[#This Row],[AC]],NA())</f>
        <v>44080421.651255101</v>
      </c>
      <c r="W15" s="7" t="e" cm="1">
        <f t="array" ref="W15">IF(Cumulative_EVM[[#This Row],[t]:[t]]&gt;=Time__now,Cumulative_EVM[[#This Row],[t]],NA())</f>
        <v>#N/A</v>
      </c>
      <c r="X15" s="7" t="e" cm="1">
        <f t="array" ref="X15">IF(Cumulative_EVM[[#This Row],[t]:[t]]&gt;=Time__now,Cumulative_EVM[[#This Row],[PV]],NA())</f>
        <v>#N/A</v>
      </c>
      <c r="Y15" t="e" cm="1">
        <f t="array" ref="Y15">IF(Cumulative_EVM[[#This Row],[t]:[t]]&gt;=Time__now,Cumulative_EVM[[#This Row],[EV]],NA())</f>
        <v>#N/A</v>
      </c>
      <c r="Z15" t="e" cm="1">
        <f t="array" ref="Z15">IF(Cumulative_EVM[[#This Row],[t]:[t]]&gt;=Time__now,Cumulative_EVM[[#This Row],[AC]],NA())</f>
        <v>#N/A</v>
      </c>
      <c r="AA15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12</v>
      </c>
      <c r="AB15">
        <f>IF(Cumulative_EVM[[#This Row],[t]]&gt;=BCP_Period,BCP_BAC,BAC)</f>
        <v>125000000</v>
      </c>
      <c r="AC15" s="1">
        <f>IF(Cumulative_EVM[[#This Row],[t]]&lt;=BCP_Period,Cumulative_EVM[[#This Row],[PV]],NA())</f>
        <v>49999999.999999993</v>
      </c>
      <c r="AD15" s="2" cm="1">
        <f t="array" aca="1" ref="AD15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44080421.651255101</v>
      </c>
      <c r="AG15" s="1">
        <f t="shared" si="0"/>
        <v>10407850.177205846</v>
      </c>
      <c r="AH15" s="1">
        <f t="shared" si="1"/>
        <v>4514650.0250648148</v>
      </c>
      <c r="AI15" s="1">
        <f t="shared" si="2"/>
        <v>6365103.9639487565</v>
      </c>
      <c r="AJ15" s="5">
        <f t="shared" si="3"/>
        <v>0.70928142739463362</v>
      </c>
      <c r="AK15" s="5">
        <f t="shared" si="4"/>
        <v>0.43377354095203213</v>
      </c>
      <c r="AQ15" s="8">
        <f>AR15</f>
        <v>15</v>
      </c>
      <c r="AR15" s="6">
        <f>Time__now</f>
        <v>15</v>
      </c>
      <c r="AS15">
        <v>0</v>
      </c>
      <c r="BH15">
        <f>Post_BCP_Planned_Duration</f>
        <v>27</v>
      </c>
      <c r="BI15" s="1">
        <v>0</v>
      </c>
    </row>
    <row r="16" spans="1:61" x14ac:dyDescent="0.25">
      <c r="A16">
        <v>15</v>
      </c>
      <c r="E16">
        <v>13</v>
      </c>
      <c r="F16" s="2">
        <v>60407850.177205808</v>
      </c>
      <c r="G16" s="8">
        <v>13</v>
      </c>
      <c r="H16" s="2">
        <f ca="1"/>
        <v>55414161.80558484</v>
      </c>
      <c r="I16">
        <f>IF(ROW(Cumulative_EVM[[#This Row],[t]])-ROW(Cumulative_EVM[[#Headers],[t]])-1&lt;=Actual_Duration,ROW(Cumulative_EVM[[#This Row],[t]])-ROW(Cumulative_EVM[[#Headers],[t]])-1,Actual_Duration)</f>
        <v>13</v>
      </c>
      <c r="J16" s="1">
        <f>IF(AND(Cumulative_EVM[[#This Row],[t]]=E16,Cumulative_EVM[[#This Row],[t]]&lt;=Actual_Duration),F16,NA())</f>
        <v>60407850.177205808</v>
      </c>
      <c r="K16" s="1" cm="1">
        <f t="array" ref="K16">sigmoid(Cumulative_EVM[[#This Row],[t]]/MAX(Cumulative_EVM[t]),BAC,EV_Truncation)</f>
        <v>40266203.122053586</v>
      </c>
      <c r="L16" s="1" cm="1">
        <f t="array" ref="L16">sigmoid(Cumulative_EVM[[#This Row],[t]]/MAX(Cumulative_EVM[t]),Actual_Cost,AC_Truncation)</f>
        <v>50826193.926843315</v>
      </c>
      <c r="M16" s="5">
        <f>IFERROR(Cumulative_EVM[[#This Row],[EV]]/Cumulative_EVM[[#This Row],[AC]],1)</f>
        <v>0.79223329569022516</v>
      </c>
      <c r="N16" s="5">
        <f>IFERROR(Cumulative_EVM[[#This Row],[EV]]/Cumulative_EVM[[#This Row],[PV]],1)</f>
        <v>0.66657235779676138</v>
      </c>
      <c r="O16">
        <f>_xlfn.XLOOKUP(Cumulative_EVM[[#This Row],[EV]],Cumulative_EVM[PV],Cumulative_EVM[t],0,-1,1)</f>
        <v>11</v>
      </c>
      <c r="P16">
        <f>_xlfn.XLOOKUP(Cumulative_EVM[[#This Row],[EV]],Cumulative_EVM[PV],Cumulative_EVM[t],0,1,1)</f>
        <v>12</v>
      </c>
      <c r="Q16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6.4763931819049256E-2</v>
      </c>
      <c r="R16">
        <f>Cumulative_EVM[[#This Row],[ES Month Before]]+Cumulative_EVM[[#This Row],[ES Fraction]]</f>
        <v>11.06476393181905</v>
      </c>
      <c r="S16" s="7" cm="1">
        <f t="array" ref="S16">IF(Cumulative_EVM[[#This Row],[t]:[t]]&lt;=Time__now,Cumulative_EVM[[#This Row],[t]],NA())</f>
        <v>13</v>
      </c>
      <c r="T16" s="7" cm="1">
        <f t="array" ref="T16">IF(Cumulative_EVM[[#This Row],[t]:[t]]&lt;=Time__now,Cumulative_EVM[[#This Row],[PV]],NA())</f>
        <v>60407850.177205808</v>
      </c>
      <c r="U16" cm="1">
        <f t="array" ref="U16">IF(Cumulative_EVM[[#This Row],[t]:[t]]&lt;=Time__now,Cumulative_EVM[[#This Row],[EV]],NA())</f>
        <v>40266203.122053586</v>
      </c>
      <c r="V16" cm="1">
        <f t="array" ref="V16">IF(Cumulative_EVM[[#This Row],[t]:[t]]&lt;=Time__now,Cumulative_EVM[[#This Row],[AC]],NA())</f>
        <v>50826193.926843315</v>
      </c>
      <c r="W16" s="7" t="e" cm="1">
        <f t="array" ref="W16">IF(Cumulative_EVM[[#This Row],[t]:[t]]&gt;=Time__now,Cumulative_EVM[[#This Row],[t]],NA())</f>
        <v>#N/A</v>
      </c>
      <c r="X16" s="7" t="e" cm="1">
        <f t="array" ref="X16">IF(Cumulative_EVM[[#This Row],[t]:[t]]&gt;=Time__now,Cumulative_EVM[[#This Row],[PV]],NA())</f>
        <v>#N/A</v>
      </c>
      <c r="Y16" t="e" cm="1">
        <f t="array" ref="Y16">IF(Cumulative_EVM[[#This Row],[t]:[t]]&gt;=Time__now,Cumulative_EVM[[#This Row],[EV]],NA())</f>
        <v>#N/A</v>
      </c>
      <c r="Z16" t="e" cm="1">
        <f t="array" ref="Z16">IF(Cumulative_EVM[[#This Row],[t]:[t]]&gt;=Time__now,Cumulative_EVM[[#This Row],[AC]],NA())</f>
        <v>#N/A</v>
      </c>
      <c r="AA16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13</v>
      </c>
      <c r="AB16">
        <f>IF(Cumulative_EVM[[#This Row],[t]]&gt;=BCP_Period,BCP_BAC,BAC)</f>
        <v>125000000</v>
      </c>
      <c r="AC16" s="1" t="e">
        <f>IF(Cumulative_EVM[[#This Row],[t]]&lt;=BCP_Period,Cumulative_EVM[[#This Row],[PV]],NA())</f>
        <v>#N/A</v>
      </c>
      <c r="AD16" s="2" cm="1">
        <f t="array" aca="1" ref="AD16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51665235.566805661</v>
      </c>
      <c r="AG16" s="1">
        <f t="shared" si="0"/>
        <v>10407850.177205816</v>
      </c>
      <c r="AH16" s="1">
        <f t="shared" si="1"/>
        <v>4702333.377729401</v>
      </c>
      <c r="AI16" s="1">
        <f t="shared" si="2"/>
        <v>6745772.2755882144</v>
      </c>
      <c r="AJ16" s="5">
        <f t="shared" si="3"/>
        <v>0.69707858279567692</v>
      </c>
      <c r="AK16" s="5">
        <f t="shared" si="4"/>
        <v>0.45180640551763124</v>
      </c>
    </row>
    <row r="17" spans="1:45" x14ac:dyDescent="0.25">
      <c r="E17">
        <v>14</v>
      </c>
      <c r="F17" s="2">
        <v>69973284.832241684</v>
      </c>
      <c r="G17" s="8">
        <v>14</v>
      </c>
      <c r="H17" s="2">
        <f ca="1"/>
        <v>67213518.437078357</v>
      </c>
      <c r="I17">
        <f>IF(ROW(Cumulative_EVM[[#This Row],[t]])-ROW(Cumulative_EVM[[#Headers],[t]])-1&lt;=Actual_Duration,ROW(Cumulative_EVM[[#This Row],[t]])-ROW(Cumulative_EVM[[#Headers],[t]])-1,Actual_Duration)</f>
        <v>14</v>
      </c>
      <c r="J17" s="1">
        <f>IF(AND(Cumulative_EVM[[#This Row],[t]]=E17,Cumulative_EVM[[#This Row],[t]]&lt;=Actual_Duration),F17,NA())</f>
        <v>69973284.832241684</v>
      </c>
      <c r="K17" s="1" cm="1">
        <f t="array" ref="K17">sigmoid(Cumulative_EVM[[#This Row],[t]]/MAX(Cumulative_EVM[t]),BAC,EV_Truncation)</f>
        <v>45099459.51346156</v>
      </c>
      <c r="L17" s="1" cm="1">
        <f t="array" ref="L17">sigmoid(Cumulative_EVM[[#This Row],[t]]/MAX(Cumulative_EVM[t]),Actual_Cost,AC_Truncation)</f>
        <v>57842697.729863882</v>
      </c>
      <c r="M17" s="5">
        <f>IFERROR(Cumulative_EVM[[#This Row],[EV]]/Cumulative_EVM[[#This Row],[AC]],1)</f>
        <v>0.77969149578887886</v>
      </c>
      <c r="N17" s="5">
        <f>IFERROR(Cumulative_EVM[[#This Row],[EV]]/Cumulative_EVM[[#This Row],[PV]],1)</f>
        <v>0.64452397256446969</v>
      </c>
      <c r="O17">
        <f>_xlfn.XLOOKUP(Cumulative_EVM[[#This Row],[EV]],Cumulative_EVM[PV],Cumulative_EVM[t],0,-1,1)</f>
        <v>11</v>
      </c>
      <c r="P17">
        <f>_xlfn.XLOOKUP(Cumulative_EVM[[#This Row],[EV]],Cumulative_EVM[PV],Cumulative_EVM[t],0,1,1)</f>
        <v>12</v>
      </c>
      <c r="Q17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0.52914959351825896</v>
      </c>
      <c r="R17">
        <f>Cumulative_EVM[[#This Row],[ES Month Before]]+Cumulative_EVM[[#This Row],[ES Fraction]]</f>
        <v>11.529149593518259</v>
      </c>
      <c r="S17" s="7" cm="1">
        <f t="array" ref="S17">IF(Cumulative_EVM[[#This Row],[t]:[t]]&lt;=Time__now,Cumulative_EVM[[#This Row],[t]],NA())</f>
        <v>14</v>
      </c>
      <c r="T17" s="7" cm="1">
        <f t="array" ref="T17">IF(Cumulative_EVM[[#This Row],[t]:[t]]&lt;=Time__now,Cumulative_EVM[[#This Row],[PV]],NA())</f>
        <v>69973284.832241684</v>
      </c>
      <c r="U17" cm="1">
        <f t="array" ref="U17">IF(Cumulative_EVM[[#This Row],[t]:[t]]&lt;=Time__now,Cumulative_EVM[[#This Row],[EV]],NA())</f>
        <v>45099459.51346156</v>
      </c>
      <c r="V17" cm="1">
        <f t="array" ref="V17">IF(Cumulative_EVM[[#This Row],[t]:[t]]&lt;=Time__now,Cumulative_EVM[[#This Row],[AC]],NA())</f>
        <v>57842697.729863882</v>
      </c>
      <c r="W17" s="7" t="e" cm="1">
        <f t="array" ref="W17">IF(Cumulative_EVM[[#This Row],[t]:[t]]&gt;=Time__now,Cumulative_EVM[[#This Row],[t]],NA())</f>
        <v>#N/A</v>
      </c>
      <c r="X17" s="7" t="e" cm="1">
        <f t="array" ref="X17">IF(Cumulative_EVM[[#This Row],[t]:[t]]&gt;=Time__now,Cumulative_EVM[[#This Row],[PV]],NA())</f>
        <v>#N/A</v>
      </c>
      <c r="Y17" t="e" cm="1">
        <f t="array" ref="Y17">IF(Cumulative_EVM[[#This Row],[t]:[t]]&gt;=Time__now,Cumulative_EVM[[#This Row],[EV]],NA())</f>
        <v>#N/A</v>
      </c>
      <c r="Z17" t="e" cm="1">
        <f t="array" ref="Z17">IF(Cumulative_EVM[[#This Row],[t]:[t]]&gt;=Time__now,Cumulative_EVM[[#This Row],[AC]],NA())</f>
        <v>#N/A</v>
      </c>
      <c r="AA17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14</v>
      </c>
      <c r="AB17">
        <f>IF(Cumulative_EVM[[#This Row],[t]]&gt;=BCP_Period,BCP_BAC,BAC)</f>
        <v>125000000</v>
      </c>
      <c r="AC17" s="1" t="e">
        <f>IF(Cumulative_EVM[[#This Row],[t]]&lt;=BCP_Period,Cumulative_EVM[[#This Row],[PV]],NA())</f>
        <v>#N/A</v>
      </c>
      <c r="AD17" s="2" cm="1">
        <f t="array" aca="1" ref="AD17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60915401.227426499</v>
      </c>
      <c r="AG17" s="1">
        <f t="shared" si="0"/>
        <v>9565434.6550358757</v>
      </c>
      <c r="AH17" s="1">
        <f t="shared" si="1"/>
        <v>4833256.3914079741</v>
      </c>
      <c r="AI17" s="1">
        <f t="shared" si="2"/>
        <v>7016503.8030205667</v>
      </c>
      <c r="AJ17" s="5">
        <f t="shared" si="3"/>
        <v>0.6888411275893962</v>
      </c>
      <c r="AK17" s="5">
        <f t="shared" si="4"/>
        <v>0.50528350939739353</v>
      </c>
      <c r="AQ17" s="10" t="s">
        <v>52</v>
      </c>
      <c r="AR17" s="10"/>
      <c r="AS17" s="10"/>
    </row>
    <row r="18" spans="1:45" x14ac:dyDescent="0.25">
      <c r="A18" t="s">
        <v>26</v>
      </c>
      <c r="B18" t="s">
        <v>27</v>
      </c>
      <c r="C18" t="s">
        <v>28</v>
      </c>
      <c r="E18">
        <v>15</v>
      </c>
      <c r="F18" s="2">
        <v>78106207.430224136</v>
      </c>
      <c r="G18" s="8">
        <v>15</v>
      </c>
      <c r="H18" s="2">
        <f ca="1"/>
        <v>78684445.296365276</v>
      </c>
      <c r="I18">
        <f>IF(ROW(Cumulative_EVM[[#This Row],[t]])-ROW(Cumulative_EVM[[#Headers],[t]])-1&lt;=Actual_Duration,ROW(Cumulative_EVM[[#This Row],[t]])-ROW(Cumulative_EVM[[#Headers],[t]])-1,Actual_Duration)</f>
        <v>15</v>
      </c>
      <c r="J18" s="1">
        <f>IF(AND(Cumulative_EVM[[#This Row],[t]]=E18,Cumulative_EVM[[#This Row],[t]]&lt;=Actual_Duration),F18,NA())</f>
        <v>78106207.430224136</v>
      </c>
      <c r="K18" s="1" cm="1">
        <f t="array" ref="K18">sigmoid(Cumulative_EVM[[#This Row],[t]]/MAX(Cumulative_EVM[t]),BAC,EV_Truncation)</f>
        <v>49999999.999999993</v>
      </c>
      <c r="L18" s="1" cm="1">
        <f t="array" ref="L18">sigmoid(Cumulative_EVM[[#This Row],[t]]/MAX(Cumulative_EVM[t]),Actual_Cost,AC_Truncation)</f>
        <v>64999999.999999985</v>
      </c>
      <c r="M18" s="5">
        <f>IFERROR(Cumulative_EVM[[#This Row],[EV]]/Cumulative_EVM[[#This Row],[AC]],1)</f>
        <v>0.76923076923076927</v>
      </c>
      <c r="N18" s="5">
        <f>IFERROR(Cumulative_EVM[[#This Row],[EV]]/Cumulative_EVM[[#This Row],[PV]],1)</f>
        <v>0.64015398577209492</v>
      </c>
      <c r="O18">
        <f>_xlfn.XLOOKUP(Cumulative_EVM[[#This Row],[EV]],Cumulative_EVM[PV],Cumulative_EVM[t],0,-1,1)</f>
        <v>12</v>
      </c>
      <c r="P18">
        <f>_xlfn.XLOOKUP(Cumulative_EVM[[#This Row],[EV]],Cumulative_EVM[PV],Cumulative_EVM[t],0,1,1)</f>
        <v>12</v>
      </c>
      <c r="Q18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</v>
      </c>
      <c r="R18">
        <f>Cumulative_EVM[[#This Row],[ES Month Before]]+Cumulative_EVM[[#This Row],[ES Fraction]]</f>
        <v>12</v>
      </c>
      <c r="S18" s="7" cm="1">
        <f t="array" ref="S18">IF(Cumulative_EVM[[#This Row],[t]:[t]]&lt;=Time__now,Cumulative_EVM[[#This Row],[t]],NA())</f>
        <v>15</v>
      </c>
      <c r="T18" s="7" cm="1">
        <f t="array" ref="T18">IF(Cumulative_EVM[[#This Row],[t]:[t]]&lt;=Time__now,Cumulative_EVM[[#This Row],[PV]],NA())</f>
        <v>78106207.430224136</v>
      </c>
      <c r="U18" cm="1">
        <f t="array" ref="U18">IF(Cumulative_EVM[[#This Row],[t]:[t]]&lt;=Time__now,Cumulative_EVM[[#This Row],[EV]],NA())</f>
        <v>49999999.999999993</v>
      </c>
      <c r="V18" cm="1">
        <f t="array" ref="V18">IF(Cumulative_EVM[[#This Row],[t]:[t]]&lt;=Time__now,Cumulative_EVM[[#This Row],[AC]],NA())</f>
        <v>64999999.999999985</v>
      </c>
      <c r="W18" s="7" cm="1">
        <f t="array" ref="W18">IF(Cumulative_EVM[[#This Row],[t]:[t]]&gt;=Time__now,Cumulative_EVM[[#This Row],[t]],NA())</f>
        <v>15</v>
      </c>
      <c r="X18" s="7" cm="1">
        <f t="array" ref="X18">IF(Cumulative_EVM[[#This Row],[t]:[t]]&gt;=Time__now,Cumulative_EVM[[#This Row],[PV]],NA())</f>
        <v>78106207.430224136</v>
      </c>
      <c r="Y18" cm="1">
        <f t="array" ref="Y18">IF(Cumulative_EVM[[#This Row],[t]:[t]]&gt;=Time__now,Cumulative_EVM[[#This Row],[EV]],NA())</f>
        <v>49999999.999999993</v>
      </c>
      <c r="Z18" cm="1">
        <f t="array" ref="Z18">IF(Cumulative_EVM[[#This Row],[t]:[t]]&gt;=Time__now,Cumulative_EVM[[#This Row],[AC]],NA())</f>
        <v>64999999.999999985</v>
      </c>
      <c r="AA18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15</v>
      </c>
      <c r="AB18">
        <f>IF(Cumulative_EVM[[#This Row],[t]]&gt;=BCP_Period,BCP_BAC,BAC)</f>
        <v>125000000</v>
      </c>
      <c r="AC18" s="1" t="e">
        <f>IF(Cumulative_EVM[[#This Row],[t]]&lt;=BCP_Period,Cumulative_EVM[[#This Row],[PV]],NA())</f>
        <v>#N/A</v>
      </c>
      <c r="AD18" s="2" cm="1">
        <f t="array" aca="1" ref="AD18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71348916.051182762</v>
      </c>
      <c r="AG18" s="1">
        <f t="shared" si="0"/>
        <v>8132922.5979824513</v>
      </c>
      <c r="AH18" s="1">
        <f t="shared" si="1"/>
        <v>4900540.4865384325</v>
      </c>
      <c r="AI18" s="1">
        <f t="shared" si="2"/>
        <v>7157302.270136103</v>
      </c>
      <c r="AJ18" s="5">
        <f t="shared" si="3"/>
        <v>0.68469100529482652</v>
      </c>
      <c r="AK18" s="5">
        <f t="shared" si="4"/>
        <v>0.60255589887872762</v>
      </c>
      <c r="AQ18" t="s">
        <v>30</v>
      </c>
      <c r="AR18" t="s">
        <v>10</v>
      </c>
      <c r="AS18" t="s">
        <v>11</v>
      </c>
    </row>
    <row r="19" spans="1:45" x14ac:dyDescent="0.25">
      <c r="A19">
        <v>5</v>
      </c>
      <c r="B19">
        <v>2.5</v>
      </c>
      <c r="C19">
        <v>3</v>
      </c>
      <c r="E19">
        <v>16</v>
      </c>
      <c r="F19" s="2">
        <v>84575912.365981773</v>
      </c>
      <c r="G19" s="8">
        <v>16</v>
      </c>
      <c r="H19" s="2">
        <f ca="1"/>
        <v>89117098.17802912</v>
      </c>
      <c r="I19">
        <f>IF(ROW(Cumulative_EVM[[#This Row],[t]])-ROW(Cumulative_EVM[[#Headers],[t]])-1&lt;=Actual_Duration,ROW(Cumulative_EVM[[#This Row],[t]])-ROW(Cumulative_EVM[[#Headers],[t]])-1,Actual_Duration)</f>
        <v>16</v>
      </c>
      <c r="J19" s="1">
        <f>IF(AND(Cumulative_EVM[[#This Row],[t]]=E19,Cumulative_EVM[[#This Row],[t]]&lt;=Actual_Duration),F19,NA())</f>
        <v>84575912.365981773</v>
      </c>
      <c r="K19" s="1" cm="1">
        <f t="array" ref="K19">sigmoid(Cumulative_EVM[[#This Row],[t]]/MAX(Cumulative_EVM[t]),BAC,EV_Truncation)</f>
        <v>54900540.486538425</v>
      </c>
      <c r="L19" s="1" cm="1">
        <f t="array" ref="L19">sigmoid(Cumulative_EVM[[#This Row],[t]]/MAX(Cumulative_EVM[t]),Actual_Cost,AC_Truncation)</f>
        <v>72157302.270136088</v>
      </c>
      <c r="M19" s="5">
        <f>IFERROR(Cumulative_EVM[[#This Row],[EV]]/Cumulative_EVM[[#This Row],[AC]],1)</f>
        <v>0.7608452472489432</v>
      </c>
      <c r="N19" s="5">
        <f>IFERROR(Cumulative_EVM[[#This Row],[EV]]/Cumulative_EVM[[#This Row],[PV]],1)</f>
        <v>0.64912738096125566</v>
      </c>
      <c r="O19">
        <f>_xlfn.XLOOKUP(Cumulative_EVM[[#This Row],[EV]],Cumulative_EVM[PV],Cumulative_EVM[t],0,-1,1)</f>
        <v>12</v>
      </c>
      <c r="P19">
        <f>_xlfn.XLOOKUP(Cumulative_EVM[[#This Row],[EV]],Cumulative_EVM[PV],Cumulative_EVM[t],0,1,1)</f>
        <v>13</v>
      </c>
      <c r="Q19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0.47085040648174237</v>
      </c>
      <c r="R19">
        <f>Cumulative_EVM[[#This Row],[ES Month Before]]+Cumulative_EVM[[#This Row],[ES Fraction]]</f>
        <v>12.470850406481743</v>
      </c>
      <c r="S19" s="7" t="e" cm="1">
        <f t="array" ref="S19">IF(Cumulative_EVM[[#This Row],[t]:[t]]&lt;=Time__now,Cumulative_EVM[[#This Row],[t]],NA())</f>
        <v>#N/A</v>
      </c>
      <c r="T19" s="7" t="e" cm="1">
        <f t="array" ref="T19">IF(Cumulative_EVM[[#This Row],[t]:[t]]&lt;=Time__now,Cumulative_EVM[[#This Row],[PV]],NA())</f>
        <v>#N/A</v>
      </c>
      <c r="U19" t="e" cm="1">
        <f t="array" ref="U19">IF(Cumulative_EVM[[#This Row],[t]:[t]]&lt;=Time__now,Cumulative_EVM[[#This Row],[EV]],NA())</f>
        <v>#N/A</v>
      </c>
      <c r="V19" t="e" cm="1">
        <f t="array" ref="V19">IF(Cumulative_EVM[[#This Row],[t]:[t]]&lt;=Time__now,Cumulative_EVM[[#This Row],[AC]],NA())</f>
        <v>#N/A</v>
      </c>
      <c r="W19" s="7" cm="1">
        <f t="array" ref="W19">IF(Cumulative_EVM[[#This Row],[t]:[t]]&gt;=Time__now,Cumulative_EVM[[#This Row],[t]],NA())</f>
        <v>16</v>
      </c>
      <c r="X19" s="7" cm="1">
        <f t="array" ref="X19">IF(Cumulative_EVM[[#This Row],[t]:[t]]&gt;=Time__now,Cumulative_EVM[[#This Row],[PV]],NA())</f>
        <v>84575912.365981773</v>
      </c>
      <c r="Y19" cm="1">
        <f t="array" ref="Y19">IF(Cumulative_EVM[[#This Row],[t]:[t]]&gt;=Time__now,Cumulative_EVM[[#This Row],[EV]],NA())</f>
        <v>54900540.486538425</v>
      </c>
      <c r="Z19" cm="1">
        <f t="array" ref="Z19">IF(Cumulative_EVM[[#This Row],[t]:[t]]&gt;=Time__now,Cumulative_EVM[[#This Row],[AC]],NA())</f>
        <v>72157302.270136088</v>
      </c>
      <c r="AA19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16</v>
      </c>
      <c r="AB19">
        <f>IF(Cumulative_EVM[[#This Row],[t]]&gt;=BCP_Period,BCP_BAC,BAC)</f>
        <v>125000000</v>
      </c>
      <c r="AC19" s="1" t="e">
        <f>IF(Cumulative_EVM[[#This Row],[t]]&lt;=BCP_Period,Cumulative_EVM[[#This Row],[PV]],NA())</f>
        <v>#N/A</v>
      </c>
      <c r="AD19" s="2" cm="1">
        <f t="array" aca="1" ref="AD19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82129286.211237311</v>
      </c>
      <c r="AG19" s="1">
        <f t="shared" si="0"/>
        <v>6469704.935757637</v>
      </c>
      <c r="AH19" s="1">
        <f t="shared" si="1"/>
        <v>4900540.4865384325</v>
      </c>
      <c r="AI19" s="1">
        <f t="shared" si="2"/>
        <v>7157302.270136103</v>
      </c>
      <c r="AJ19" s="5">
        <f t="shared" si="3"/>
        <v>0.68469100529482652</v>
      </c>
      <c r="AK19" s="5">
        <f t="shared" si="4"/>
        <v>0.75745965777410729</v>
      </c>
      <c r="AR19">
        <v>0</v>
      </c>
      <c r="AS19">
        <f>_xlfn.XLOOKUP(Time__now,Cumulative_EVM[t],Cumulative_EVM[PV])</f>
        <v>78106207.430224136</v>
      </c>
    </row>
    <row r="20" spans="1:45" x14ac:dyDescent="0.25">
      <c r="A20" t="s">
        <v>8</v>
      </c>
      <c r="B20" t="s">
        <v>9</v>
      </c>
      <c r="C20" t="s">
        <v>65</v>
      </c>
      <c r="E20">
        <v>17</v>
      </c>
      <c r="F20" s="2">
        <v>89455406.510628566</v>
      </c>
      <c r="G20" s="8">
        <v>17</v>
      </c>
      <c r="H20" s="2">
        <f ca="1"/>
        <v>98045812.295844674</v>
      </c>
      <c r="I20">
        <f>IF(ROW(Cumulative_EVM[[#This Row],[t]])-ROW(Cumulative_EVM[[#Headers],[t]])-1&lt;=Actual_Duration,ROW(Cumulative_EVM[[#This Row],[t]])-ROW(Cumulative_EVM[[#Headers],[t]])-1,Actual_Duration)</f>
        <v>17</v>
      </c>
      <c r="J20" s="1">
        <f>IF(AND(Cumulative_EVM[[#This Row],[t]]=E20,Cumulative_EVM[[#This Row],[t]]&lt;=Actual_Duration),F20,NA())</f>
        <v>89455406.510628566</v>
      </c>
      <c r="K20" s="1" cm="1">
        <f t="array" ref="K20">sigmoid(Cumulative_EVM[[#This Row],[t]]/MAX(Cumulative_EVM[t]),BAC,EV_Truncation)</f>
        <v>59733796.877946407</v>
      </c>
      <c r="L20" s="1" cm="1">
        <f t="array" ref="L20">sigmoid(Cumulative_EVM[[#This Row],[t]]/MAX(Cumulative_EVM[t]),Actual_Cost,AC_Truncation)</f>
        <v>79173806.073156655</v>
      </c>
      <c r="M20" s="5">
        <f>IFERROR(Cumulative_EVM[[#This Row],[EV]]/Cumulative_EVM[[#This Row],[AC]],1)</f>
        <v>0.75446413202306251</v>
      </c>
      <c r="N20" s="5">
        <f>IFERROR(Cumulative_EVM[[#This Row],[EV]]/Cumulative_EVM[[#This Row],[PV]],1)</f>
        <v>0.66774943190101299</v>
      </c>
      <c r="O20">
        <f>_xlfn.XLOOKUP(Cumulative_EVM[[#This Row],[EV]],Cumulative_EVM[PV],Cumulative_EVM[t],0,-1,1)</f>
        <v>12</v>
      </c>
      <c r="P20">
        <f>_xlfn.XLOOKUP(Cumulative_EVM[[#This Row],[EV]],Cumulative_EVM[PV],Cumulative_EVM[t],0,1,1)</f>
        <v>13</v>
      </c>
      <c r="Q20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0.93523606818095417</v>
      </c>
      <c r="R20">
        <f>Cumulative_EVM[[#This Row],[ES Month Before]]+Cumulative_EVM[[#This Row],[ES Fraction]]</f>
        <v>12.935236068180954</v>
      </c>
      <c r="S20" s="7" t="e" cm="1">
        <f t="array" ref="S20">IF(Cumulative_EVM[[#This Row],[t]:[t]]&lt;=Time__now,Cumulative_EVM[[#This Row],[t]],NA())</f>
        <v>#N/A</v>
      </c>
      <c r="T20" s="7" t="e" cm="1">
        <f t="array" ref="T20">IF(Cumulative_EVM[[#This Row],[t]:[t]]&lt;=Time__now,Cumulative_EVM[[#This Row],[PV]],NA())</f>
        <v>#N/A</v>
      </c>
      <c r="U20" t="e" cm="1">
        <f t="array" ref="U20">IF(Cumulative_EVM[[#This Row],[t]:[t]]&lt;=Time__now,Cumulative_EVM[[#This Row],[EV]],NA())</f>
        <v>#N/A</v>
      </c>
      <c r="V20" t="e" cm="1">
        <f t="array" ref="V20">IF(Cumulative_EVM[[#This Row],[t]:[t]]&lt;=Time__now,Cumulative_EVM[[#This Row],[AC]],NA())</f>
        <v>#N/A</v>
      </c>
      <c r="W20" s="7" cm="1">
        <f t="array" ref="W20">IF(Cumulative_EVM[[#This Row],[t]:[t]]&gt;=Time__now,Cumulative_EVM[[#This Row],[t]],NA())</f>
        <v>17</v>
      </c>
      <c r="X20" s="7" cm="1">
        <f t="array" ref="X20">IF(Cumulative_EVM[[#This Row],[t]:[t]]&gt;=Time__now,Cumulative_EVM[[#This Row],[PV]],NA())</f>
        <v>89455406.510628566</v>
      </c>
      <c r="Y20" cm="1">
        <f t="array" ref="Y20">IF(Cumulative_EVM[[#This Row],[t]:[t]]&gt;=Time__now,Cumulative_EVM[[#This Row],[EV]],NA())</f>
        <v>59733796.877946407</v>
      </c>
      <c r="Z20" cm="1">
        <f t="array" ref="Z20">IF(Cumulative_EVM[[#This Row],[t]:[t]]&gt;=Time__now,Cumulative_EVM[[#This Row],[AC]],NA())</f>
        <v>79173806.073156655</v>
      </c>
      <c r="AA20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17</v>
      </c>
      <c r="AB20">
        <f>IF(Cumulative_EVM[[#This Row],[t]]&gt;=BCP_Period,BCP_BAC,BAC)</f>
        <v>125000000</v>
      </c>
      <c r="AC20" s="1" t="e">
        <f>IF(Cumulative_EVM[[#This Row],[t]]&lt;=BCP_Period,Cumulative_EVM[[#This Row],[PV]],NA())</f>
        <v>#N/A</v>
      </c>
      <c r="AD20" s="2" cm="1">
        <f t="array" aca="1" ref="AD20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92304612.230001092</v>
      </c>
      <c r="AG20" s="1">
        <f t="shared" si="0"/>
        <v>4879494.1446467936</v>
      </c>
      <c r="AH20" s="1">
        <f t="shared" si="1"/>
        <v>4833256.3914079815</v>
      </c>
      <c r="AI20" s="1">
        <f t="shared" si="2"/>
        <v>7016503.8030205667</v>
      </c>
      <c r="AJ20" s="5">
        <f t="shared" si="3"/>
        <v>0.68884112758939731</v>
      </c>
      <c r="AK20" s="5">
        <f t="shared" si="4"/>
        <v>0.99052406830131379</v>
      </c>
      <c r="AQ20" t="s">
        <v>42</v>
      </c>
      <c r="AR20">
        <f>AR21/2</f>
        <v>7.5</v>
      </c>
      <c r="AS20">
        <f>_xlfn.XLOOKUP(Time__now,Cumulative_EVM[t],Cumulative_EVM[PV])</f>
        <v>78106207.430224136</v>
      </c>
    </row>
    <row r="21" spans="1:45" x14ac:dyDescent="0.25">
      <c r="C21" s="15">
        <v>300000</v>
      </c>
      <c r="E21">
        <v>18</v>
      </c>
      <c r="F21" s="2">
        <v>92989628.345489189</v>
      </c>
      <c r="G21" s="8">
        <v>18</v>
      </c>
      <c r="H21" s="2">
        <f ca="1"/>
        <v>105298340.74077088</v>
      </c>
      <c r="I21">
        <f>IF(ROW(Cumulative_EVM[[#This Row],[t]])-ROW(Cumulative_EVM[[#Headers],[t]])-1&lt;=Actual_Duration,ROW(Cumulative_EVM[[#This Row],[t]])-ROW(Cumulative_EVM[[#Headers],[t]])-1,Actual_Duration)</f>
        <v>18</v>
      </c>
      <c r="J21" s="1">
        <f>IF(AND(Cumulative_EVM[[#This Row],[t]]=E21,Cumulative_EVM[[#This Row],[t]]&lt;=Actual_Duration),F21,NA())</f>
        <v>92989628.345489189</v>
      </c>
      <c r="K21" s="1" cm="1">
        <f t="array" ref="K21">sigmoid(Cumulative_EVM[[#This Row],[t]]/MAX(Cumulative_EVM[t]),BAC,EV_Truncation)</f>
        <v>64436130.2556758</v>
      </c>
      <c r="L21" s="1" cm="1">
        <f t="array" ref="L21">sigmoid(Cumulative_EVM[[#This Row],[t]]/MAX(Cumulative_EVM[t]),Actual_Cost,AC_Truncation)</f>
        <v>85919578.348744884</v>
      </c>
      <c r="M21" s="5">
        <f>IFERROR(Cumulative_EVM[[#This Row],[EV]]/Cumulative_EVM[[#This Row],[AC]],1)</f>
        <v>0.74995864148834113</v>
      </c>
      <c r="N21" s="5">
        <f>IFERROR(Cumulative_EVM[[#This Row],[EV]]/Cumulative_EVM[[#This Row],[PV]],1)</f>
        <v>0.69293889439231759</v>
      </c>
      <c r="O21">
        <f>_xlfn.XLOOKUP(Cumulative_EVM[[#This Row],[EV]],Cumulative_EVM[PV],Cumulative_EVM[t],0,-1,1)</f>
        <v>13</v>
      </c>
      <c r="P21">
        <f>_xlfn.XLOOKUP(Cumulative_EVM[[#This Row],[EV]],Cumulative_EVM[PV],Cumulative_EVM[t],0,1,1)</f>
        <v>14</v>
      </c>
      <c r="Q21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0.42112880634747102</v>
      </c>
      <c r="R21">
        <f>Cumulative_EVM[[#This Row],[ES Month Before]]+Cumulative_EVM[[#This Row],[ES Fraction]]</f>
        <v>13.421128806347472</v>
      </c>
      <c r="S21" s="7" t="e" cm="1">
        <f t="array" ref="S21">IF(Cumulative_EVM[[#This Row],[t]:[t]]&lt;=Time__now,Cumulative_EVM[[#This Row],[t]],NA())</f>
        <v>#N/A</v>
      </c>
      <c r="T21" s="7" t="e" cm="1">
        <f t="array" ref="T21">IF(Cumulative_EVM[[#This Row],[t]:[t]]&lt;=Time__now,Cumulative_EVM[[#This Row],[PV]],NA())</f>
        <v>#N/A</v>
      </c>
      <c r="U21" t="e" cm="1">
        <f t="array" ref="U21">IF(Cumulative_EVM[[#This Row],[t]:[t]]&lt;=Time__now,Cumulative_EVM[[#This Row],[EV]],NA())</f>
        <v>#N/A</v>
      </c>
      <c r="V21" t="e" cm="1">
        <f t="array" ref="V21">IF(Cumulative_EVM[[#This Row],[t]:[t]]&lt;=Time__now,Cumulative_EVM[[#This Row],[AC]],NA())</f>
        <v>#N/A</v>
      </c>
      <c r="W21" s="7" cm="1">
        <f t="array" ref="W21">IF(Cumulative_EVM[[#This Row],[t]:[t]]&gt;=Time__now,Cumulative_EVM[[#This Row],[t]],NA())</f>
        <v>18</v>
      </c>
      <c r="X21" s="7" cm="1">
        <f t="array" ref="X21">IF(Cumulative_EVM[[#This Row],[t]:[t]]&gt;=Time__now,Cumulative_EVM[[#This Row],[PV]],NA())</f>
        <v>92989628.345489189</v>
      </c>
      <c r="Y21" cm="1">
        <f t="array" ref="Y21">IF(Cumulative_EVM[[#This Row],[t]:[t]]&gt;=Time__now,Cumulative_EVM[[#This Row],[EV]],NA())</f>
        <v>64436130.2556758</v>
      </c>
      <c r="Z21" cm="1">
        <f t="array" ref="Z21">IF(Cumulative_EVM[[#This Row],[t]:[t]]&gt;=Time__now,Cumulative_EVM[[#This Row],[AC]],NA())</f>
        <v>85919578.348744884</v>
      </c>
      <c r="AA21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18</v>
      </c>
      <c r="AB21">
        <f>IF(Cumulative_EVM[[#This Row],[t]]&gt;=BCP_Period,BCP_BAC,BAC)</f>
        <v>125000000</v>
      </c>
      <c r="AC21" s="1" t="e">
        <f>IF(Cumulative_EVM[[#This Row],[t]]&lt;=BCP_Period,Cumulative_EVM[[#This Row],[PV]],NA())</f>
        <v>#N/A</v>
      </c>
      <c r="AD21" s="2" cm="1">
        <f t="array" aca="1" ref="AD21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101120945.45818311</v>
      </c>
      <c r="AG21" s="1">
        <f t="shared" si="0"/>
        <v>3534221.8348606229</v>
      </c>
      <c r="AH21" s="1">
        <f t="shared" si="1"/>
        <v>4702333.3777293935</v>
      </c>
      <c r="AI21" s="1">
        <f t="shared" si="2"/>
        <v>6745772.2755882293</v>
      </c>
      <c r="AJ21" s="5">
        <f t="shared" si="3"/>
        <v>0.69707858279567425</v>
      </c>
      <c r="AK21" s="5">
        <f t="shared" si="4"/>
        <v>1.3305144944063301</v>
      </c>
      <c r="AR21" s="6">
        <f>Time__now</f>
        <v>15</v>
      </c>
      <c r="AS21">
        <f>_xlfn.XLOOKUP(Time__now,Cumulative_EVM[t],Cumulative_EVM[PV])</f>
        <v>78106207.430224136</v>
      </c>
    </row>
    <row r="22" spans="1:45" x14ac:dyDescent="0.25">
      <c r="E22">
        <v>19</v>
      </c>
      <c r="F22" s="2">
        <v>95475137.318131626</v>
      </c>
      <c r="G22" s="8">
        <v>19</v>
      </c>
      <c r="H22" s="2">
        <f ca="1"/>
        <v>110943382.6151419</v>
      </c>
      <c r="I22">
        <f>IF(ROW(Cumulative_EVM[[#This Row],[t]])-ROW(Cumulative_EVM[[#Headers],[t]])-1&lt;=Actual_Duration,ROW(Cumulative_EVM[[#This Row],[t]])-ROW(Cumulative_EVM[[#Headers],[t]])-1,Actual_Duration)</f>
        <v>19</v>
      </c>
      <c r="J22" s="1">
        <f>IF(AND(Cumulative_EVM[[#This Row],[t]]=E22,Cumulative_EVM[[#This Row],[t]]&lt;=Actual_Duration),F22,NA())</f>
        <v>95475137.318131626</v>
      </c>
      <c r="K22" s="1" cm="1">
        <f t="array" ref="K22">sigmoid(Cumulative_EVM[[#This Row],[t]]/MAX(Cumulative_EVM[t]),BAC,EV_Truncation)</f>
        <v>68950780.280740604</v>
      </c>
      <c r="L22" s="1" cm="1">
        <f t="array" ref="L22">sigmoid(Cumulative_EVM[[#This Row],[t]]/MAX(Cumulative_EVM[t]),Actual_Cost,AC_Truncation)</f>
        <v>92284682.312693626</v>
      </c>
      <c r="M22" s="5">
        <f>IFERROR(Cumulative_EVM[[#This Row],[EV]]/Cumulative_EVM[[#This Row],[AC]],1)</f>
        <v>0.74715303290648616</v>
      </c>
      <c r="N22" s="5">
        <f>IFERROR(Cumulative_EVM[[#This Row],[EV]]/Cumulative_EVM[[#This Row],[PV]],1)</f>
        <v>0.72218571470591852</v>
      </c>
      <c r="O22">
        <f>_xlfn.XLOOKUP(Cumulative_EVM[[#This Row],[EV]],Cumulative_EVM[PV],Cumulative_EVM[t],0,-1,1)</f>
        <v>13</v>
      </c>
      <c r="P22">
        <f>_xlfn.XLOOKUP(Cumulative_EVM[[#This Row],[EV]],Cumulative_EVM[PV],Cumulative_EVM[t],0,1,1)</f>
        <v>14</v>
      </c>
      <c r="Q22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0.89310422491227137</v>
      </c>
      <c r="R22">
        <f>Cumulative_EVM[[#This Row],[ES Month Before]]+Cumulative_EVM[[#This Row],[ES Fraction]]</f>
        <v>13.893104224912271</v>
      </c>
      <c r="S22" s="7" t="e" cm="1">
        <f t="array" ref="S22">IF(Cumulative_EVM[[#This Row],[t]:[t]]&lt;=Time__now,Cumulative_EVM[[#This Row],[t]],NA())</f>
        <v>#N/A</v>
      </c>
      <c r="T22" s="7" t="e" cm="1">
        <f t="array" ref="T22">IF(Cumulative_EVM[[#This Row],[t]:[t]]&lt;=Time__now,Cumulative_EVM[[#This Row],[PV]],NA())</f>
        <v>#N/A</v>
      </c>
      <c r="U22" t="e" cm="1">
        <f t="array" ref="U22">IF(Cumulative_EVM[[#This Row],[t]:[t]]&lt;=Time__now,Cumulative_EVM[[#This Row],[EV]],NA())</f>
        <v>#N/A</v>
      </c>
      <c r="V22" t="e" cm="1">
        <f t="array" ref="V22">IF(Cumulative_EVM[[#This Row],[t]:[t]]&lt;=Time__now,Cumulative_EVM[[#This Row],[AC]],NA())</f>
        <v>#N/A</v>
      </c>
      <c r="W22" s="7" cm="1">
        <f t="array" ref="W22">IF(Cumulative_EVM[[#This Row],[t]:[t]]&gt;=Time__now,Cumulative_EVM[[#This Row],[t]],NA())</f>
        <v>19</v>
      </c>
      <c r="X22" s="7" cm="1">
        <f t="array" ref="X22">IF(Cumulative_EVM[[#This Row],[t]:[t]]&gt;=Time__now,Cumulative_EVM[[#This Row],[PV]],NA())</f>
        <v>95475137.318131626</v>
      </c>
      <c r="Y22" cm="1">
        <f t="array" ref="Y22">IF(Cumulative_EVM[[#This Row],[t]:[t]]&gt;=Time__now,Cumulative_EVM[[#This Row],[EV]],NA())</f>
        <v>68950780.280740604</v>
      </c>
      <c r="Z22" cm="1">
        <f t="array" ref="Z22">IF(Cumulative_EVM[[#This Row],[t]:[t]]&gt;=Time__now,Cumulative_EVM[[#This Row],[AC]],NA())</f>
        <v>92284682.312693626</v>
      </c>
      <c r="AA22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19</v>
      </c>
      <c r="AB22">
        <f>IF(Cumulative_EVM[[#This Row],[t]]&gt;=BCP_Period,BCP_BAC,BAC)</f>
        <v>125000000</v>
      </c>
      <c r="AC22" s="1" t="e">
        <f>IF(Cumulative_EVM[[#This Row],[t]]&lt;=BCP_Period,Cumulative_EVM[[#This Row],[PV]],NA())</f>
        <v>#N/A</v>
      </c>
      <c r="AD22" s="2" cm="1">
        <f t="array" aca="1" ref="AD22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108210800.69181137</v>
      </c>
      <c r="AG22" s="1">
        <f t="shared" si="0"/>
        <v>2485508.9726424366</v>
      </c>
      <c r="AH22" s="1">
        <f t="shared" si="1"/>
        <v>4514650.0250648037</v>
      </c>
      <c r="AI22" s="1">
        <f t="shared" si="2"/>
        <v>6365103.9639487416</v>
      </c>
      <c r="AJ22" s="5">
        <f t="shared" si="3"/>
        <v>0.70928142739463362</v>
      </c>
      <c r="AK22" s="5">
        <f t="shared" si="4"/>
        <v>1.816388544461826</v>
      </c>
    </row>
    <row r="23" spans="1:45" x14ac:dyDescent="0.25">
      <c r="A23" t="s">
        <v>72</v>
      </c>
      <c r="B23" t="s">
        <v>73</v>
      </c>
      <c r="E23">
        <v>20</v>
      </c>
      <c r="F23" s="2">
        <v>97187113.05989337</v>
      </c>
      <c r="G23" s="8">
        <v>20</v>
      </c>
      <c r="H23" s="2">
        <f ca="1"/>
        <v>115193099.30333942</v>
      </c>
      <c r="I23">
        <f>IF(ROW(Cumulative_EVM[[#This Row],[t]])-ROW(Cumulative_EVM[[#Headers],[t]])-1&lt;=Actual_Duration,ROW(Cumulative_EVM[[#This Row],[t]])-ROW(Cumulative_EVM[[#Headers],[t]])-1,Actual_Duration)</f>
        <v>20</v>
      </c>
      <c r="J23" s="1">
        <f>IF(AND(Cumulative_EVM[[#This Row],[t]]=E23,Cumulative_EVM[[#This Row],[t]]&lt;=Actual_Duration),F23,NA())</f>
        <v>97187113.05989337</v>
      </c>
      <c r="K23" s="1" cm="1">
        <f t="array" ref="K23">sigmoid(Cumulative_EVM[[#This Row],[t]]/MAX(Cumulative_EVM[t]),BAC,EV_Truncation)</f>
        <v>73230352.995523646</v>
      </c>
      <c r="L23" s="1" cm="1">
        <f t="array" ref="L23">sigmoid(Cumulative_EVM[[#This Row],[t]]/MAX(Cumulative_EVM[t]),Actual_Cost,AC_Truncation)</f>
        <v>98185298.762876287</v>
      </c>
      <c r="M23" s="5">
        <f>IFERROR(Cumulative_EVM[[#This Row],[EV]]/Cumulative_EVM[[#This Row],[AC]],1)</f>
        <v>0.74583826619888982</v>
      </c>
      <c r="N23" s="5">
        <f>IFERROR(Cumulative_EVM[[#This Row],[EV]]/Cumulative_EVM[[#This Row],[PV]],1)</f>
        <v>0.75349859348527082</v>
      </c>
      <c r="O23">
        <f>_xlfn.XLOOKUP(Cumulative_EVM[[#This Row],[EV]],Cumulative_EVM[PV],Cumulative_EVM[t],0,-1,1)</f>
        <v>14</v>
      </c>
      <c r="P23">
        <f>_xlfn.XLOOKUP(Cumulative_EVM[[#This Row],[EV]],Cumulative_EVM[PV],Cumulative_EVM[t],0,1,1)</f>
        <v>15</v>
      </c>
      <c r="Q23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0.40047942471381065</v>
      </c>
      <c r="R23">
        <f>Cumulative_EVM[[#This Row],[ES Month Before]]+Cumulative_EVM[[#This Row],[ES Fraction]]</f>
        <v>14.400479424713811</v>
      </c>
      <c r="S23" s="7" t="e" cm="1">
        <f t="array" ref="S23">IF(Cumulative_EVM[[#This Row],[t]:[t]]&lt;=Time__now,Cumulative_EVM[[#This Row],[t]],NA())</f>
        <v>#N/A</v>
      </c>
      <c r="T23" s="7" t="e" cm="1">
        <f t="array" ref="T23">IF(Cumulative_EVM[[#This Row],[t]:[t]]&lt;=Time__now,Cumulative_EVM[[#This Row],[PV]],NA())</f>
        <v>#N/A</v>
      </c>
      <c r="U23" t="e" cm="1">
        <f t="array" ref="U23">IF(Cumulative_EVM[[#This Row],[t]:[t]]&lt;=Time__now,Cumulative_EVM[[#This Row],[EV]],NA())</f>
        <v>#N/A</v>
      </c>
      <c r="V23" t="e" cm="1">
        <f t="array" ref="V23">IF(Cumulative_EVM[[#This Row],[t]:[t]]&lt;=Time__now,Cumulative_EVM[[#This Row],[AC]],NA())</f>
        <v>#N/A</v>
      </c>
      <c r="W23" s="7" cm="1">
        <f t="array" ref="W23">IF(Cumulative_EVM[[#This Row],[t]:[t]]&gt;=Time__now,Cumulative_EVM[[#This Row],[t]],NA())</f>
        <v>20</v>
      </c>
      <c r="X23" s="7" cm="1">
        <f t="array" ref="X23">IF(Cumulative_EVM[[#This Row],[t]:[t]]&gt;=Time__now,Cumulative_EVM[[#This Row],[PV]],NA())</f>
        <v>97187113.05989337</v>
      </c>
      <c r="Y23" cm="1">
        <f t="array" ref="Y23">IF(Cumulative_EVM[[#This Row],[t]:[t]]&gt;=Time__now,Cumulative_EVM[[#This Row],[EV]],NA())</f>
        <v>73230352.995523646</v>
      </c>
      <c r="Z23" cm="1">
        <f t="array" ref="Z23">IF(Cumulative_EVM[[#This Row],[t]:[t]]&gt;=Time__now,Cumulative_EVM[[#This Row],[AC]],NA())</f>
        <v>98185298.762876287</v>
      </c>
      <c r="AA23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20</v>
      </c>
      <c r="AB23">
        <f>IF(Cumulative_EVM[[#This Row],[t]]&gt;=BCP_Period,BCP_BAC,BAC)</f>
        <v>125000000</v>
      </c>
      <c r="AC23" s="1" t="e">
        <f>IF(Cumulative_EVM[[#This Row],[t]]&lt;=BCP_Period,Cumulative_EVM[[#This Row],[PV]],NA())</f>
        <v>#N/A</v>
      </c>
      <c r="AD23" s="2" cm="1">
        <f t="array" aca="1" ref="AD23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113578052.92567754</v>
      </c>
      <c r="AG23" s="1">
        <f t="shared" si="0"/>
        <v>1711975.741761744</v>
      </c>
      <c r="AH23" s="1">
        <f t="shared" si="1"/>
        <v>4279572.7147830427</v>
      </c>
      <c r="AI23" s="1">
        <f t="shared" si="2"/>
        <v>5900616.4501826614</v>
      </c>
      <c r="AJ23" s="5">
        <f t="shared" si="3"/>
        <v>0.72527552856796218</v>
      </c>
      <c r="AK23" s="5">
        <f>AH23/AG23</f>
        <v>2.4997858383081177</v>
      </c>
      <c r="AQ23" s="3" t="s">
        <v>65</v>
      </c>
      <c r="AR23" s="3"/>
      <c r="AS23" s="3"/>
    </row>
    <row r="24" spans="1:45" x14ac:dyDescent="0.25">
      <c r="A24">
        <v>1.5</v>
      </c>
      <c r="B24">
        <v>3</v>
      </c>
      <c r="E24">
        <v>21</v>
      </c>
      <c r="F24" s="2">
        <v>98349454.390003026</v>
      </c>
      <c r="G24" s="8">
        <v>21</v>
      </c>
      <c r="H24" s="2">
        <f ca="1"/>
        <v>118312732.38071698</v>
      </c>
      <c r="I24">
        <f>IF(ROW(Cumulative_EVM[[#This Row],[t]])-ROW(Cumulative_EVM[[#Headers],[t]])-1&lt;=Actual_Duration,ROW(Cumulative_EVM[[#This Row],[t]])-ROW(Cumulative_EVM[[#Headers],[t]])-1,Actual_Duration)</f>
        <v>21</v>
      </c>
      <c r="J24" s="1">
        <f>IF(AND(Cumulative_EVM[[#This Row],[t]]=E24,Cumulative_EVM[[#This Row],[t]]&lt;=Actual_Duration),F24,NA())</f>
        <v>98349454.390003026</v>
      </c>
      <c r="K24" s="1" cm="1">
        <f t="array" ref="K24">sigmoid(Cumulative_EVM[[#This Row],[t]]/MAX(Cumulative_EVM[t]),BAC,EV_Truncation)</f>
        <v>77238363.177860841</v>
      </c>
      <c r="L24" s="1" cm="1">
        <f t="array" ref="L24">sigmoid(Cumulative_EVM[[#This Row],[t]]/MAX(Cumulative_EVM[t]),Actual_Cost,AC_Truncation)</f>
        <v>103566303.04958689</v>
      </c>
      <c r="M24" s="5">
        <f>IFERROR(Cumulative_EVM[[#This Row],[EV]]/Cumulative_EVM[[#This Row],[AC]],1)</f>
        <v>0.7457866207783781</v>
      </c>
      <c r="N24" s="5">
        <f>IFERROR(Cumulative_EVM[[#This Row],[EV]]/Cumulative_EVM[[#This Row],[PV]],1)</f>
        <v>0.78534612781453239</v>
      </c>
      <c r="O24">
        <f>_xlfn.XLOOKUP(Cumulative_EVM[[#This Row],[EV]],Cumulative_EVM[PV],Cumulative_EVM[t],0,-1,1)</f>
        <v>14</v>
      </c>
      <c r="P24">
        <f>_xlfn.XLOOKUP(Cumulative_EVM[[#This Row],[EV]],Cumulative_EVM[PV],Cumulative_EVM[t],0,1,1)</f>
        <v>15</v>
      </c>
      <c r="Q24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0.89329244906639316</v>
      </c>
      <c r="R24">
        <f>Cumulative_EVM[[#This Row],[ES Month Before]]+Cumulative_EVM[[#This Row],[ES Fraction]]</f>
        <v>14.893292449066394</v>
      </c>
      <c r="S24" s="7" t="e" cm="1">
        <f t="array" ref="S24">IF(Cumulative_EVM[[#This Row],[t]:[t]]&lt;=Time__now,Cumulative_EVM[[#This Row],[t]],NA())</f>
        <v>#N/A</v>
      </c>
      <c r="T24" s="7" t="e" cm="1">
        <f t="array" ref="T24">IF(Cumulative_EVM[[#This Row],[t]:[t]]&lt;=Time__now,Cumulative_EVM[[#This Row],[PV]],NA())</f>
        <v>#N/A</v>
      </c>
      <c r="U24" t="e" cm="1">
        <f t="array" ref="U24">IF(Cumulative_EVM[[#This Row],[t]:[t]]&lt;=Time__now,Cumulative_EVM[[#This Row],[EV]],NA())</f>
        <v>#N/A</v>
      </c>
      <c r="V24" t="e" cm="1">
        <f t="array" ref="V24">IF(Cumulative_EVM[[#This Row],[t]:[t]]&lt;=Time__now,Cumulative_EVM[[#This Row],[AC]],NA())</f>
        <v>#N/A</v>
      </c>
      <c r="W24" s="7" cm="1">
        <f t="array" ref="W24">IF(Cumulative_EVM[[#This Row],[t]:[t]]&gt;=Time__now,Cumulative_EVM[[#This Row],[t]],NA())</f>
        <v>21</v>
      </c>
      <c r="X24" s="7" cm="1">
        <f t="array" ref="X24">IF(Cumulative_EVM[[#This Row],[t]:[t]]&gt;=Time__now,Cumulative_EVM[[#This Row],[PV]],NA())</f>
        <v>98349454.390003026</v>
      </c>
      <c r="Y24" cm="1">
        <f t="array" ref="Y24">IF(Cumulative_EVM[[#This Row],[t]:[t]]&gt;=Time__now,Cumulative_EVM[[#This Row],[EV]],NA())</f>
        <v>77238363.177860841</v>
      </c>
      <c r="Z24" cm="1">
        <f t="array" ref="Z24">IF(Cumulative_EVM[[#This Row],[t]:[t]]&gt;=Time__now,Cumulative_EVM[[#This Row],[AC]],NA())</f>
        <v>103566303.04958689</v>
      </c>
      <c r="AA24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21</v>
      </c>
      <c r="AB24">
        <f>IF(Cumulative_EVM[[#This Row],[t]]&gt;=BCP_Period,BCP_BAC,BAC)</f>
        <v>125000000</v>
      </c>
      <c r="AC24" s="1" t="e">
        <f>IF(Cumulative_EVM[[#This Row],[t]]&lt;=BCP_Period,Cumulative_EVM[[#This Row],[PV]],NA())</f>
        <v>#N/A</v>
      </c>
      <c r="AD24" s="2" cm="1">
        <f t="array" aca="1" ref="AD24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117458322.13936898</v>
      </c>
      <c r="AG24" s="1">
        <f t="shared" si="0"/>
        <v>1162341.3301096559</v>
      </c>
      <c r="AH24" s="1">
        <f t="shared" si="1"/>
        <v>4008010.1823371947</v>
      </c>
      <c r="AI24" s="1">
        <f t="shared" si="2"/>
        <v>5381004.286710605</v>
      </c>
      <c r="AJ24" s="5">
        <f t="shared" si="3"/>
        <v>0.74484426489600175</v>
      </c>
      <c r="AK24" s="5"/>
      <c r="AQ24" t="s">
        <v>66</v>
      </c>
      <c r="AS24" s="15">
        <f>Jitter_Offset</f>
        <v>300000</v>
      </c>
    </row>
    <row r="25" spans="1:45" x14ac:dyDescent="0.25">
      <c r="E25">
        <v>22</v>
      </c>
      <c r="F25" s="2">
        <v>99130936.681927785</v>
      </c>
      <c r="G25" s="8">
        <v>22</v>
      </c>
      <c r="H25" s="2">
        <f ca="1"/>
        <v>120560661.29300897</v>
      </c>
      <c r="I25">
        <f>IF(ROW(Cumulative_EVM[[#This Row],[t]])-ROW(Cumulative_EVM[[#Headers],[t]])-1&lt;=Actual_Duration,ROW(Cumulative_EVM[[#This Row],[t]])-ROW(Cumulative_EVM[[#Headers],[t]])-1,Actual_Duration)</f>
        <v>22</v>
      </c>
      <c r="J25" s="1">
        <f>IF(AND(Cumulative_EVM[[#This Row],[t]]=E25,Cumulative_EVM[[#This Row],[t]]&lt;=Actual_Duration),F25,NA())</f>
        <v>99130936.681927785</v>
      </c>
      <c r="K25" s="1" cm="1">
        <f t="array" ref="K25">sigmoid(Cumulative_EVM[[#This Row],[t]]/MAX(Cumulative_EVM[t]),BAC,EV_Truncation)</f>
        <v>80949786.049068078</v>
      </c>
      <c r="L25" s="1" cm="1">
        <f t="array" ref="L25">sigmoid(Cumulative_EVM[[#This Row],[t]]/MAX(Cumulative_EVM[t]),Actual_Cost,AC_Truncation)</f>
        <v>108400520.69307597</v>
      </c>
      <c r="M25" s="5">
        <f>IFERROR(Cumulative_EVM[[#This Row],[EV]]/Cumulative_EVM[[#This Row],[AC]],1)</f>
        <v>0.746765656949826</v>
      </c>
      <c r="N25" s="5">
        <f>IFERROR(Cumulative_EVM[[#This Row],[EV]]/Cumulative_EVM[[#This Row],[PV]],1)</f>
        <v>0.81659458448177613</v>
      </c>
      <c r="O25">
        <f>_xlfn.XLOOKUP(Cumulative_EVM[[#This Row],[EV]],Cumulative_EVM[PV],Cumulative_EVM[t],0,-1,1)</f>
        <v>15</v>
      </c>
      <c r="P25">
        <f>_xlfn.XLOOKUP(Cumulative_EVM[[#This Row],[EV]],Cumulative_EVM[PV],Cumulative_EVM[t],0,1,1)</f>
        <v>16</v>
      </c>
      <c r="Q25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0.43952214932209188</v>
      </c>
      <c r="R25">
        <f>Cumulative_EVM[[#This Row],[ES Month Before]]+Cumulative_EVM[[#This Row],[ES Fraction]]</f>
        <v>15.439522149322093</v>
      </c>
      <c r="S25" s="7" t="e" cm="1">
        <f t="array" ref="S25">IF(Cumulative_EVM[[#This Row],[t]:[t]]&lt;=Time__now,Cumulative_EVM[[#This Row],[t]],NA())</f>
        <v>#N/A</v>
      </c>
      <c r="T25" s="7" t="e" cm="1">
        <f t="array" ref="T25">IF(Cumulative_EVM[[#This Row],[t]:[t]]&lt;=Time__now,Cumulative_EVM[[#This Row],[PV]],NA())</f>
        <v>#N/A</v>
      </c>
      <c r="U25" t="e" cm="1">
        <f t="array" ref="U25">IF(Cumulative_EVM[[#This Row],[t]:[t]]&lt;=Time__now,Cumulative_EVM[[#This Row],[EV]],NA())</f>
        <v>#N/A</v>
      </c>
      <c r="V25" t="e" cm="1">
        <f t="array" ref="V25">IF(Cumulative_EVM[[#This Row],[t]:[t]]&lt;=Time__now,Cumulative_EVM[[#This Row],[AC]],NA())</f>
        <v>#N/A</v>
      </c>
      <c r="W25" s="7" cm="1">
        <f t="array" ref="W25">IF(Cumulative_EVM[[#This Row],[t]:[t]]&gt;=Time__now,Cumulative_EVM[[#This Row],[t]],NA())</f>
        <v>22</v>
      </c>
      <c r="X25" s="7" cm="1">
        <f t="array" ref="X25">IF(Cumulative_EVM[[#This Row],[t]:[t]]&gt;=Time__now,Cumulative_EVM[[#This Row],[PV]],NA())</f>
        <v>99130936.681927785</v>
      </c>
      <c r="Y25" cm="1">
        <f t="array" ref="Y25">IF(Cumulative_EVM[[#This Row],[t]:[t]]&gt;=Time__now,Cumulative_EVM[[#This Row],[EV]],NA())</f>
        <v>80949786.049068078</v>
      </c>
      <c r="Z25" cm="1">
        <f t="array" ref="Z25">IF(Cumulative_EVM[[#This Row],[t]:[t]]&gt;=Time__now,Cumulative_EVM[[#This Row],[AC]],NA())</f>
        <v>108400520.69307597</v>
      </c>
      <c r="AA25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22</v>
      </c>
      <c r="AB25">
        <f>IF(Cumulative_EVM[[#This Row],[t]]&gt;=BCP_Period,BCP_BAC,BAC)</f>
        <v>125000000</v>
      </c>
      <c r="AC25" s="1" t="e">
        <f>IF(Cumulative_EVM[[#This Row],[t]]&lt;=BCP_Period,Cumulative_EVM[[#This Row],[PV]],NA())</f>
        <v>#N/A</v>
      </c>
      <c r="AD25" s="2" cm="1">
        <f t="array" aca="1" ref="AD25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120171120.7299912</v>
      </c>
      <c r="AG25" s="1">
        <f t="shared" si="0"/>
        <v>781482.29192475975</v>
      </c>
      <c r="AH25" s="1">
        <f t="shared" si="1"/>
        <v>3711422.8712072372</v>
      </c>
      <c r="AI25" s="1">
        <f t="shared" si="2"/>
        <v>4834217.6434890777</v>
      </c>
      <c r="AJ25" s="5">
        <f t="shared" si="3"/>
        <v>0.76774012775488787</v>
      </c>
      <c r="AK25" s="5"/>
    </row>
    <row r="26" spans="1:45" x14ac:dyDescent="0.25">
      <c r="E26">
        <v>23</v>
      </c>
      <c r="F26" s="2">
        <v>99652902.653336033</v>
      </c>
      <c r="G26" s="8">
        <v>23</v>
      </c>
      <c r="H26" s="2">
        <f ca="1"/>
        <v>122158877.51005501</v>
      </c>
      <c r="I26">
        <f>IF(ROW(Cumulative_EVM[[#This Row],[t]])-ROW(Cumulative_EVM[[#Headers],[t]])-1&lt;=Actual_Duration,ROW(Cumulative_EVM[[#This Row],[t]])-ROW(Cumulative_EVM[[#Headers],[t]])-1,Actual_Duration)</f>
        <v>23</v>
      </c>
      <c r="J26" s="1">
        <f>IF(AND(Cumulative_EVM[[#This Row],[t]]=E26,Cumulative_EVM[[#This Row],[t]]&lt;=Actual_Duration),F26,NA())</f>
        <v>99652902.653336033</v>
      </c>
      <c r="K26" s="1" cm="1">
        <f t="array" ref="K26">sigmoid(Cumulative_EVM[[#This Row],[t]]/MAX(Cumulative_EVM[t]),BAC,EV_Truncation)</f>
        <v>84350712.302850679</v>
      </c>
      <c r="L26" s="1" cm="1">
        <f t="array" ref="L26">sigmoid(Cumulative_EVM[[#This Row],[t]]/MAX(Cumulative_EVM[t]),Actual_Cost,AC_Truncation)</f>
        <v>112685437.04702863</v>
      </c>
      <c r="M26" s="5">
        <f>IFERROR(Cumulative_EVM[[#This Row],[EV]]/Cumulative_EVM[[#This Row],[AC]],1)</f>
        <v>0.74855025204053105</v>
      </c>
      <c r="N26" s="5">
        <f>IFERROR(Cumulative_EVM[[#This Row],[EV]]/Cumulative_EVM[[#This Row],[PV]],1)</f>
        <v>0.84644511155166946</v>
      </c>
      <c r="O26">
        <f>_xlfn.XLOOKUP(Cumulative_EVM[[#This Row],[EV]],Cumulative_EVM[PV],Cumulative_EVM[t],0,-1,1)</f>
        <v>15</v>
      </c>
      <c r="P26">
        <f>_xlfn.XLOOKUP(Cumulative_EVM[[#This Row],[EV]],Cumulative_EVM[PV],Cumulative_EVM[t],0,1,1)</f>
        <v>16</v>
      </c>
      <c r="Q26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0.96519160218784816</v>
      </c>
      <c r="R26">
        <f>Cumulative_EVM[[#This Row],[ES Month Before]]+Cumulative_EVM[[#This Row],[ES Fraction]]</f>
        <v>15.965191602187849</v>
      </c>
      <c r="S26" s="7" t="e" cm="1">
        <f t="array" ref="S26">IF(Cumulative_EVM[[#This Row],[t]:[t]]&lt;=Time__now,Cumulative_EVM[[#This Row],[t]],NA())</f>
        <v>#N/A</v>
      </c>
      <c r="T26" s="7" t="e" cm="1">
        <f t="array" ref="T26">IF(Cumulative_EVM[[#This Row],[t]:[t]]&lt;=Time__now,Cumulative_EVM[[#This Row],[PV]],NA())</f>
        <v>#N/A</v>
      </c>
      <c r="U26" t="e" cm="1">
        <f t="array" ref="U26">IF(Cumulative_EVM[[#This Row],[t]:[t]]&lt;=Time__now,Cumulative_EVM[[#This Row],[EV]],NA())</f>
        <v>#N/A</v>
      </c>
      <c r="V26" t="e" cm="1">
        <f t="array" ref="V26">IF(Cumulative_EVM[[#This Row],[t]:[t]]&lt;=Time__now,Cumulative_EVM[[#This Row],[AC]],NA())</f>
        <v>#N/A</v>
      </c>
      <c r="W26" s="7" cm="1">
        <f t="array" ref="W26">IF(Cumulative_EVM[[#This Row],[t]:[t]]&gt;=Time__now,Cumulative_EVM[[#This Row],[t]],NA())</f>
        <v>23</v>
      </c>
      <c r="X26" s="7" cm="1">
        <f t="array" ref="X26">IF(Cumulative_EVM[[#This Row],[t]:[t]]&gt;=Time__now,Cumulative_EVM[[#This Row],[PV]],NA())</f>
        <v>99652902.653336033</v>
      </c>
      <c r="Y26" cm="1">
        <f t="array" ref="Y26">IF(Cumulative_EVM[[#This Row],[t]:[t]]&gt;=Time__now,Cumulative_EVM[[#This Row],[EV]],NA())</f>
        <v>84350712.302850679</v>
      </c>
      <c r="Z26" cm="1">
        <f t="array" ref="Z26">IF(Cumulative_EVM[[#This Row],[t]:[t]]&gt;=Time__now,Cumulative_EVM[[#This Row],[AC]],NA())</f>
        <v>112685437.04702863</v>
      </c>
      <c r="AA26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23</v>
      </c>
      <c r="AB26">
        <f>IF(Cumulative_EVM[[#This Row],[t]]&gt;=BCP_Period,BCP_BAC,BAC)</f>
        <v>125000000</v>
      </c>
      <c r="AC26" s="1" t="e">
        <f>IF(Cumulative_EVM[[#This Row],[t]]&lt;=BCP_Period,Cumulative_EVM[[#This Row],[PV]],NA())</f>
        <v>#N/A</v>
      </c>
      <c r="AD26" s="2" cm="1">
        <f t="array" aca="1" ref="AD26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122023572.79508109</v>
      </c>
      <c r="AG26" s="1">
        <f t="shared" si="0"/>
        <v>521965.97140824795</v>
      </c>
      <c r="AH26" s="1">
        <f t="shared" si="1"/>
        <v>3400926.2537826002</v>
      </c>
      <c r="AI26" s="1">
        <f t="shared" si="2"/>
        <v>4284916.3539526612</v>
      </c>
      <c r="AJ26" s="5">
        <f t="shared" si="3"/>
        <v>0.79369723300324968</v>
      </c>
      <c r="AK26" s="5"/>
    </row>
    <row r="27" spans="1:45" x14ac:dyDescent="0.25">
      <c r="E27">
        <v>24</v>
      </c>
      <c r="F27" s="2">
        <v>100000000</v>
      </c>
      <c r="G27" s="8">
        <v>24</v>
      </c>
      <c r="H27" s="2">
        <f ca="1"/>
        <v>123284358.80597785</v>
      </c>
      <c r="I27">
        <f>IF(ROW(Cumulative_EVM[[#This Row],[t]])-ROW(Cumulative_EVM[[#Headers],[t]])-1&lt;=Actual_Duration,ROW(Cumulative_EVM[[#This Row],[t]])-ROW(Cumulative_EVM[[#Headers],[t]])-1,Actual_Duration)</f>
        <v>24</v>
      </c>
      <c r="J27" s="1">
        <f>IF(AND(Cumulative_EVM[[#This Row],[t]]=E27,Cumulative_EVM[[#This Row],[t]]&lt;=Actual_Duration),F27,NA())</f>
        <v>100000000</v>
      </c>
      <c r="K27" s="1" cm="1">
        <f t="array" ref="K27">sigmoid(Cumulative_EVM[[#This Row],[t]]/MAX(Cumulative_EVM[t]),BAC,EV_Truncation)</f>
        <v>87437298.23783347</v>
      </c>
      <c r="L27" s="1" cm="1">
        <f t="array" ref="L27">sigmoid(Cumulative_EVM[[#This Row],[t]]/MAX(Cumulative_EVM[t]),Actual_Cost,AC_Truncation)</f>
        <v>116438381.91749313</v>
      </c>
      <c r="M27" s="5">
        <f>IFERROR(Cumulative_EVM[[#This Row],[EV]]/Cumulative_EVM[[#This Row],[AC]],1)</f>
        <v>0.75093192466201142</v>
      </c>
      <c r="N27" s="5">
        <f>IFERROR(Cumulative_EVM[[#This Row],[EV]]/Cumulative_EVM[[#This Row],[PV]],1)</f>
        <v>0.87437298237833472</v>
      </c>
      <c r="O27">
        <f>_xlfn.XLOOKUP(Cumulative_EVM[[#This Row],[EV]],Cumulative_EVM[PV],Cumulative_EVM[t],0,-1,1)</f>
        <v>16</v>
      </c>
      <c r="P27">
        <f>_xlfn.XLOOKUP(Cumulative_EVM[[#This Row],[EV]],Cumulative_EVM[PV],Cumulative_EVM[t],0,1,1)</f>
        <v>17</v>
      </c>
      <c r="Q27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0.5864103505464543</v>
      </c>
      <c r="R27">
        <f>Cumulative_EVM[[#This Row],[ES Month Before]]+Cumulative_EVM[[#This Row],[ES Fraction]]</f>
        <v>16.586410350546455</v>
      </c>
      <c r="S27" s="7" t="e" cm="1">
        <f t="array" ref="S27">IF(Cumulative_EVM[[#This Row],[t]:[t]]&lt;=Time__now,Cumulative_EVM[[#This Row],[t]],NA())</f>
        <v>#N/A</v>
      </c>
      <c r="T27" s="7" t="e" cm="1">
        <f t="array" ref="T27">IF(Cumulative_EVM[[#This Row],[t]:[t]]&lt;=Time__now,Cumulative_EVM[[#This Row],[PV]],NA())</f>
        <v>#N/A</v>
      </c>
      <c r="U27" t="e" cm="1">
        <f t="array" ref="U27">IF(Cumulative_EVM[[#This Row],[t]:[t]]&lt;=Time__now,Cumulative_EVM[[#This Row],[EV]],NA())</f>
        <v>#N/A</v>
      </c>
      <c r="V27" t="e" cm="1">
        <f t="array" ref="V27">IF(Cumulative_EVM[[#This Row],[t]:[t]]&lt;=Time__now,Cumulative_EVM[[#This Row],[AC]],NA())</f>
        <v>#N/A</v>
      </c>
      <c r="W27" s="7" cm="1">
        <f t="array" ref="W27">IF(Cumulative_EVM[[#This Row],[t]:[t]]&gt;=Time__now,Cumulative_EVM[[#This Row],[t]],NA())</f>
        <v>24</v>
      </c>
      <c r="X27" s="7" cm="1">
        <f t="array" ref="X27">IF(Cumulative_EVM[[#This Row],[t]:[t]]&gt;=Time__now,Cumulative_EVM[[#This Row],[PV]],NA())</f>
        <v>100000000</v>
      </c>
      <c r="Y27" cm="1">
        <f t="array" ref="Y27">IF(Cumulative_EVM[[#This Row],[t]:[t]]&gt;=Time__now,Cumulative_EVM[[#This Row],[EV]],NA())</f>
        <v>87437298.23783347</v>
      </c>
      <c r="Z27" cm="1">
        <f t="array" ref="Z27">IF(Cumulative_EVM[[#This Row],[t]:[t]]&gt;=Time__now,Cumulative_EVM[[#This Row],[AC]],NA())</f>
        <v>116438381.91749313</v>
      </c>
      <c r="AA27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24</v>
      </c>
      <c r="AB27">
        <f>IF(Cumulative_EVM[[#This Row],[t]]&gt;=BCP_Period,BCP_BAC,BAC)</f>
        <v>125000000</v>
      </c>
      <c r="AC27" s="1" t="e">
        <f>IF(Cumulative_EVM[[#This Row],[t]]&lt;=BCP_Period,Cumulative_EVM[[#This Row],[PV]],NA())</f>
        <v>#N/A</v>
      </c>
      <c r="AD27" s="2" cm="1">
        <f t="array" aca="1" ref="AD27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123268280.38075921</v>
      </c>
      <c r="AG27" s="1">
        <f t="shared" si="0"/>
        <v>347097.34666396677</v>
      </c>
      <c r="AH27" s="1">
        <f t="shared" si="1"/>
        <v>3086585.9349827915</v>
      </c>
      <c r="AI27" s="1">
        <f t="shared" si="2"/>
        <v>3752944.8704645038</v>
      </c>
      <c r="AJ27" s="5">
        <f t="shared" si="3"/>
        <v>0.82244371860457499</v>
      </c>
      <c r="AK27" s="5"/>
    </row>
    <row r="28" spans="1:45" x14ac:dyDescent="0.25">
      <c r="F28" s="2"/>
      <c r="G28" s="8">
        <v>25</v>
      </c>
      <c r="H28" s="2">
        <f ca="1"/>
        <v>124071611.72870715</v>
      </c>
      <c r="I28">
        <f>IF(ROW(Cumulative_EVM[[#This Row],[t]])-ROW(Cumulative_EVM[[#Headers],[t]])-1&lt;=Actual_Duration,ROW(Cumulative_EVM[[#This Row],[t]])-ROW(Cumulative_EVM[[#Headers],[t]])-1,Actual_Duration)</f>
        <v>25</v>
      </c>
      <c r="J28" s="1" t="e">
        <f>IF(AND(Cumulative_EVM[[#This Row],[t]]=E28,Cumulative_EVM[[#This Row],[t]]&lt;=Actual_Duration),F28,NA())</f>
        <v>#N/A</v>
      </c>
      <c r="K28" s="1" cm="1">
        <f t="array" ref="K28">sigmoid(Cumulative_EVM[[#This Row],[t]]/MAX(Cumulative_EVM[t]),BAC,EV_Truncation)</f>
        <v>90214248.990605384</v>
      </c>
      <c r="L28" s="1" cm="1">
        <f t="array" ref="L28">sigmoid(Cumulative_EVM[[#This Row],[t]]/MAX(Cumulative_EVM[t]),Actual_Cost,AC_Truncation)</f>
        <v>119691173.44897111</v>
      </c>
      <c r="M28" s="5">
        <f>IFERROR(Cumulative_EVM[[#This Row],[EV]]/Cumulative_EVM[[#This Row],[AC]],1)</f>
        <v>0.75372516110444132</v>
      </c>
      <c r="N28" s="5">
        <f>IFERROR(Cumulative_EVM[[#This Row],[EV]]/Cumulative_EVM[[#This Row],[PV]],1)</f>
        <v>1</v>
      </c>
      <c r="O28">
        <f>_xlfn.XLOOKUP(Cumulative_EVM[[#This Row],[EV]],Cumulative_EVM[PV],Cumulative_EVM[t],0,-1,1)</f>
        <v>17</v>
      </c>
      <c r="P28">
        <f>_xlfn.XLOOKUP(Cumulative_EVM[[#This Row],[EV]],Cumulative_EVM[PV],Cumulative_EVM[t],0,1,1)</f>
        <v>18</v>
      </c>
      <c r="Q28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0.21471274736967494</v>
      </c>
      <c r="R28">
        <f>Cumulative_EVM[[#This Row],[ES Month Before]]+Cumulative_EVM[[#This Row],[ES Fraction]]</f>
        <v>17.214712747369674</v>
      </c>
      <c r="S28" s="7" t="e" cm="1">
        <f t="array" ref="S28">IF(Cumulative_EVM[[#This Row],[t]:[t]]&lt;=Time__now,Cumulative_EVM[[#This Row],[t]],NA())</f>
        <v>#N/A</v>
      </c>
      <c r="T28" s="7" t="e" cm="1">
        <f t="array" ref="T28">IF(Cumulative_EVM[[#This Row],[t]:[t]]&lt;=Time__now,Cumulative_EVM[[#This Row],[PV]],NA())</f>
        <v>#N/A</v>
      </c>
      <c r="U28" t="e" cm="1">
        <f t="array" ref="U28">IF(Cumulative_EVM[[#This Row],[t]:[t]]&lt;=Time__now,Cumulative_EVM[[#This Row],[EV]],NA())</f>
        <v>#N/A</v>
      </c>
      <c r="V28" t="e" cm="1">
        <f t="array" ref="V28">IF(Cumulative_EVM[[#This Row],[t]:[t]]&lt;=Time__now,Cumulative_EVM[[#This Row],[AC]],NA())</f>
        <v>#N/A</v>
      </c>
      <c r="W28" s="7" cm="1">
        <f t="array" ref="W28">IF(Cumulative_EVM[[#This Row],[t]:[t]]&gt;=Time__now,Cumulative_EVM[[#This Row],[t]],NA())</f>
        <v>25</v>
      </c>
      <c r="X28" s="7" t="e" cm="1">
        <f t="array" ref="X28">IF(Cumulative_EVM[[#This Row],[t]:[t]]&gt;=Time__now,Cumulative_EVM[[#This Row],[PV]],NA())</f>
        <v>#N/A</v>
      </c>
      <c r="Y28" cm="1">
        <f t="array" ref="Y28">IF(Cumulative_EVM[[#This Row],[t]:[t]]&gt;=Time__now,Cumulative_EVM[[#This Row],[EV]],NA())</f>
        <v>90214248.990605384</v>
      </c>
      <c r="Z28" cm="1">
        <f t="array" ref="Z28">IF(Cumulative_EVM[[#This Row],[t]:[t]]&gt;=Time__now,Cumulative_EVM[[#This Row],[AC]],NA())</f>
        <v>119691173.44897111</v>
      </c>
      <c r="AA28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25</v>
      </c>
      <c r="AB28">
        <f>IF(Cumulative_EVM[[#This Row],[t]]&gt;=BCP_Period,BCP_BAC,BAC)</f>
        <v>125000000</v>
      </c>
      <c r="AC28" s="1" t="e">
        <f>IF(Cumulative_EVM[[#This Row],[t]]&lt;=BCP_Period,Cumulative_EVM[[#This Row],[PV]],NA())</f>
        <v>#N/A</v>
      </c>
      <c r="AD28" s="2" cm="1">
        <f t="array" aca="1" ref="AD28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124095585.4476005</v>
      </c>
      <c r="AG28" s="1" t="e">
        <f t="shared" si="0"/>
        <v>#N/A</v>
      </c>
      <c r="AH28" s="1">
        <f t="shared" si="1"/>
        <v>2776950.752771914</v>
      </c>
      <c r="AI28" s="1">
        <f t="shared" si="2"/>
        <v>3252791.5314779729</v>
      </c>
      <c r="AJ28" s="5">
        <f t="shared" si="3"/>
        <v>0.85371310331410921</v>
      </c>
      <c r="AK28" s="5"/>
      <c r="AM28" t="s">
        <v>10</v>
      </c>
      <c r="AN28" t="s">
        <v>13</v>
      </c>
    </row>
    <row r="29" spans="1:45" x14ac:dyDescent="0.25">
      <c r="F29" s="2"/>
      <c r="G29" s="8">
        <v>26</v>
      </c>
      <c r="H29" s="2">
        <f ca="1"/>
        <v>124619688.00566313</v>
      </c>
      <c r="I29">
        <f>IF(ROW(Cumulative_EVM[[#This Row],[t]])-ROW(Cumulative_EVM[[#Headers],[t]])-1&lt;=Actual_Duration,ROW(Cumulative_EVM[[#This Row],[t]])-ROW(Cumulative_EVM[[#Headers],[t]])-1,Actual_Duration)</f>
        <v>26</v>
      </c>
      <c r="J29" s="1" t="e">
        <f>IF(AND(Cumulative_EVM[[#This Row],[t]]=E29,Cumulative_EVM[[#This Row],[t]]&lt;=Actual_Duration),F29,NA())</f>
        <v>#N/A</v>
      </c>
      <c r="K29" s="1" cm="1">
        <f t="array" ref="K29">sigmoid(Cumulative_EVM[[#This Row],[t]]/MAX(Cumulative_EVM[t]),BAC,EV_Truncation)</f>
        <v>92693071.748171791</v>
      </c>
      <c r="L29" cm="1">
        <f t="array" ref="L29">sigmoid(Cumulative_EVM[[#This Row],[t]]/MAX(Cumulative_EVM[t]),Actual_Cost,AC_Truncation)</f>
        <v>122484987.90658414</v>
      </c>
      <c r="O29">
        <f>_xlfn.XLOOKUP(Cumulative_EVM[[#This Row],[EV]],Cumulative_EVM[PV],Cumulative_EVM[t],0,-1,1)</f>
        <v>17</v>
      </c>
      <c r="P29">
        <f>_xlfn.XLOOKUP(Cumulative_EVM[[#This Row],[EV]],Cumulative_EVM[PV],Cumulative_EVM[t],0,1,1)</f>
        <v>18</v>
      </c>
      <c r="Q29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0.91608998778960549</v>
      </c>
      <c r="R29">
        <f>Cumulative_EVM[[#This Row],[ES Month Before]]+Cumulative_EVM[[#This Row],[ES Fraction]]</f>
        <v>17.916089987789604</v>
      </c>
      <c r="S29" t="e" cm="1">
        <f t="array" ref="S29">IF(Cumulative_EVM[[#This Row],[t]:[t]]&lt;=Time__now,Cumulative_EVM[[#This Row],[t]],NA())</f>
        <v>#N/A</v>
      </c>
      <c r="T29" t="e" cm="1">
        <f t="array" ref="T29">IF(Cumulative_EVM[[#This Row],[t]:[t]]&lt;=Time__now,Cumulative_EVM[[#This Row],[PV]],NA())</f>
        <v>#N/A</v>
      </c>
      <c r="U29" t="e" cm="1">
        <f t="array" ref="U29">IF(Cumulative_EVM[[#This Row],[t]:[t]]&lt;=Time__now,Cumulative_EVM[[#This Row],[EV]],NA())</f>
        <v>#N/A</v>
      </c>
      <c r="V29" t="e" cm="1">
        <f t="array" ref="V29">IF(Cumulative_EVM[[#This Row],[t]:[t]]&lt;=Time__now,Cumulative_EVM[[#This Row],[AC]],NA())</f>
        <v>#N/A</v>
      </c>
      <c r="W29" cm="1">
        <f t="array" ref="W29">IF(Cumulative_EVM[[#This Row],[t]:[t]]&gt;=Time__now,Cumulative_EVM[[#This Row],[t]],NA())</f>
        <v>26</v>
      </c>
      <c r="X29" t="e" cm="1">
        <f t="array" ref="X29">IF(Cumulative_EVM[[#This Row],[t]:[t]]&gt;=Time__now,Cumulative_EVM[[#This Row],[PV]],NA())</f>
        <v>#N/A</v>
      </c>
      <c r="Y29" cm="1">
        <f t="array" ref="Y29">IF(Cumulative_EVM[[#This Row],[t]:[t]]&gt;=Time__now,Cumulative_EVM[[#This Row],[EV]],NA())</f>
        <v>92693071.748171791</v>
      </c>
      <c r="Z29" cm="1">
        <f t="array" ref="Z29">IF(Cumulative_EVM[[#This Row],[t]:[t]]&gt;=Time__now,Cumulative_EVM[[#This Row],[AC]],NA())</f>
        <v>122484987.90658414</v>
      </c>
      <c r="AA29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26</v>
      </c>
      <c r="AB29">
        <f>IF(Cumulative_EVM[[#This Row],[t]]&gt;=BCP_Period,BCP_BAC,BAC)</f>
        <v>125000000</v>
      </c>
      <c r="AC29" s="1" t="e">
        <f>IF(Cumulative_EVM[[#This Row],[t]]&lt;=BCP_Period,Cumulative_EVM[[#This Row],[PV]],NA())</f>
        <v>#N/A</v>
      </c>
      <c r="AD29" s="2" cm="1">
        <f t="array" aca="1" ref="AD29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124641493.87021372</v>
      </c>
      <c r="AM29">
        <f>Planned_Duration</f>
        <v>24</v>
      </c>
      <c r="AN29" s="1">
        <f>BAC</f>
        <v>100000000</v>
      </c>
    </row>
    <row r="30" spans="1:45" x14ac:dyDescent="0.25">
      <c r="F30" s="2"/>
      <c r="G30" s="22">
        <v>27</v>
      </c>
      <c r="H30" s="2">
        <f ca="1"/>
        <v>125000000</v>
      </c>
      <c r="I30">
        <f>IF(ROW(Cumulative_EVM[[#This Row],[t]])-ROW(Cumulative_EVM[[#Headers],[t]])-1&lt;=Actual_Duration,ROW(Cumulative_EVM[[#This Row],[t]])-ROW(Cumulative_EVM[[#Headers],[t]])-1,Actual_Duration)</f>
        <v>27</v>
      </c>
      <c r="J30" s="1" t="e">
        <f>IF(AND(Cumulative_EVM[[#This Row],[t]]=E30,Cumulative_EVM[[#This Row],[t]]&lt;=Actual_Duration),F30,NA())</f>
        <v>#N/A</v>
      </c>
      <c r="K30" s="1" cm="1">
        <f t="array" ref="K30">sigmoid(Cumulative_EVM[[#This Row],[t]]/MAX(Cumulative_EVM[t]),BAC,EV_Truncation)</f>
        <v>94890300.842882559</v>
      </c>
      <c r="L30" cm="1">
        <f t="array" ref="L30">sigmoid(Cumulative_EVM[[#This Row],[t]]/MAX(Cumulative_EVM[t]),Actual_Cost,AC_Truncation)</f>
        <v>124865938.24557108</v>
      </c>
      <c r="O30">
        <f>_xlfn.XLOOKUP(Cumulative_EVM[[#This Row],[EV]],Cumulative_EVM[PV],Cumulative_EVM[t],0,-1,1)</f>
        <v>18</v>
      </c>
      <c r="P30">
        <f>_xlfn.XLOOKUP(Cumulative_EVM[[#This Row],[EV]],Cumulative_EVM[PV],Cumulative_EVM[t],0,1,1)</f>
        <v>19</v>
      </c>
      <c r="Q30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0.76470152323477403</v>
      </c>
      <c r="R30">
        <f>Cumulative_EVM[[#This Row],[ES Month Before]]+Cumulative_EVM[[#This Row],[ES Fraction]]</f>
        <v>18.764701523234773</v>
      </c>
      <c r="S30" t="e" cm="1">
        <f t="array" ref="S30">IF(Cumulative_EVM[[#This Row],[t]:[t]]&lt;=Time__now,Cumulative_EVM[[#This Row],[t]],NA())</f>
        <v>#N/A</v>
      </c>
      <c r="T30" t="e" cm="1">
        <f t="array" ref="T30">IF(Cumulative_EVM[[#This Row],[t]:[t]]&lt;=Time__now,Cumulative_EVM[[#This Row],[PV]],NA())</f>
        <v>#N/A</v>
      </c>
      <c r="U30" t="e" cm="1">
        <f t="array" ref="U30">IF(Cumulative_EVM[[#This Row],[t]:[t]]&lt;=Time__now,Cumulative_EVM[[#This Row],[EV]],NA())</f>
        <v>#N/A</v>
      </c>
      <c r="V30" t="e" cm="1">
        <f t="array" ref="V30">IF(Cumulative_EVM[[#This Row],[t]:[t]]&lt;=Time__now,Cumulative_EVM[[#This Row],[AC]],NA())</f>
        <v>#N/A</v>
      </c>
      <c r="W30" cm="1">
        <f t="array" ref="W30">IF(Cumulative_EVM[[#This Row],[t]:[t]]&gt;=Time__now,Cumulative_EVM[[#This Row],[t]],NA())</f>
        <v>27</v>
      </c>
      <c r="X30" t="e" cm="1">
        <f t="array" ref="X30">IF(Cumulative_EVM[[#This Row],[t]:[t]]&gt;=Time__now,Cumulative_EVM[[#This Row],[PV]],NA())</f>
        <v>#N/A</v>
      </c>
      <c r="Y30" cm="1">
        <f t="array" ref="Y30">IF(Cumulative_EVM[[#This Row],[t]:[t]]&gt;=Time__now,Cumulative_EVM[[#This Row],[EV]],NA())</f>
        <v>94890300.842882559</v>
      </c>
      <c r="Z30" cm="1">
        <f t="array" ref="Z30">IF(Cumulative_EVM[[#This Row],[t]:[t]]&gt;=Time__now,Cumulative_EVM[[#This Row],[AC]],NA())</f>
        <v>124865938.24557108</v>
      </c>
      <c r="AA30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27</v>
      </c>
      <c r="AB30">
        <f>IF(Cumulative_EVM[[#This Row],[t]]&gt;=BCP_Period,BCP_BAC,BAC)</f>
        <v>125000000</v>
      </c>
      <c r="AC30" s="1" t="e">
        <f>IF(Cumulative_EVM[[#This Row],[t]]&lt;=BCP_Period,Cumulative_EVM[[#This Row],[PV]],NA())</f>
        <v>#N/A</v>
      </c>
      <c r="AD30" s="2" cm="1">
        <f t="array" aca="1" ref="AD30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125000000</v>
      </c>
      <c r="AM30">
        <f>AVERAGE(AM29,AM31)</f>
        <v>27</v>
      </c>
      <c r="AN30" s="1">
        <f>BAC</f>
        <v>100000000</v>
      </c>
    </row>
    <row r="31" spans="1:45" x14ac:dyDescent="0.25">
      <c r="F31" s="2"/>
      <c r="G31" s="22"/>
      <c r="H31" s="2">
        <v>125000000</v>
      </c>
      <c r="I31">
        <f>IF(ROW(Cumulative_EVM[[#This Row],[t]])-ROW(Cumulative_EVM[[#Headers],[t]])-1&lt;=Actual_Duration,ROW(Cumulative_EVM[[#This Row],[t]])-ROW(Cumulative_EVM[[#Headers],[t]])-1,Actual_Duration)</f>
        <v>28</v>
      </c>
      <c r="J31" s="1" t="e">
        <f>IF(AND(Cumulative_EVM[[#This Row],[t]]=E31,Cumulative_EVM[[#This Row],[t]]&lt;=Actual_Duration),F31,NA())</f>
        <v>#N/A</v>
      </c>
      <c r="K31" s="1" cm="1">
        <f t="array" ref="K31">sigmoid(Cumulative_EVM[[#This Row],[t]]/MAX(Cumulative_EVM[t]),BAC,EV_Truncation)</f>
        <v>96825844.136595994</v>
      </c>
      <c r="L31" cm="1">
        <f t="array" ref="L31">sigmoid(Cumulative_EVM[[#This Row],[t]]/MAX(Cumulative_EVM[t]),Actual_Cost,AC_Truncation)</f>
        <v>126881581.42029749</v>
      </c>
      <c r="O31">
        <f>_xlfn.XLOOKUP(Cumulative_EVM[[#This Row],[EV]],Cumulative_EVM[PV],Cumulative_EVM[t],0,-1,1)</f>
        <v>19</v>
      </c>
      <c r="P31">
        <f>_xlfn.XLOOKUP(Cumulative_EVM[[#This Row],[EV]],Cumulative_EVM[PV],Cumulative_EVM[t],0,1,1)</f>
        <v>20</v>
      </c>
      <c r="Q31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0.78897544253424745</v>
      </c>
      <c r="R31">
        <f>Cumulative_EVM[[#This Row],[ES Month Before]]+Cumulative_EVM[[#This Row],[ES Fraction]]</f>
        <v>19.788975442534248</v>
      </c>
      <c r="S31" t="e" cm="1">
        <f t="array" ref="S31">IF(Cumulative_EVM[[#This Row],[t]:[t]]&lt;=Time__now,Cumulative_EVM[[#This Row],[t]],NA())</f>
        <v>#N/A</v>
      </c>
      <c r="T31" t="e" cm="1">
        <f t="array" ref="T31">IF(Cumulative_EVM[[#This Row],[t]:[t]]&lt;=Time__now,Cumulative_EVM[[#This Row],[PV]],NA())</f>
        <v>#N/A</v>
      </c>
      <c r="U31" t="e" cm="1">
        <f t="array" ref="U31">IF(Cumulative_EVM[[#This Row],[t]:[t]]&lt;=Time__now,Cumulative_EVM[[#This Row],[EV]],NA())</f>
        <v>#N/A</v>
      </c>
      <c r="V31" t="e" cm="1">
        <f t="array" ref="V31">IF(Cumulative_EVM[[#This Row],[t]:[t]]&lt;=Time__now,Cumulative_EVM[[#This Row],[AC]],NA())</f>
        <v>#N/A</v>
      </c>
      <c r="W31" cm="1">
        <f t="array" ref="W31">IF(Cumulative_EVM[[#This Row],[t]:[t]]&gt;=Time__now,Cumulative_EVM[[#This Row],[t]],NA())</f>
        <v>28</v>
      </c>
      <c r="X31" t="e" cm="1">
        <f t="array" ref="X31">IF(Cumulative_EVM[[#This Row],[t]:[t]]&gt;=Time__now,Cumulative_EVM[[#This Row],[PV]],NA())</f>
        <v>#N/A</v>
      </c>
      <c r="Y31" cm="1">
        <f t="array" ref="Y31">IF(Cumulative_EVM[[#This Row],[t]:[t]]&gt;=Time__now,Cumulative_EVM[[#This Row],[EV]],NA())</f>
        <v>96825844.136595994</v>
      </c>
      <c r="Z31" cm="1">
        <f t="array" ref="Z31">IF(Cumulative_EVM[[#This Row],[t]:[t]]&gt;=Time__now,Cumulative_EVM[[#This Row],[AC]],NA())</f>
        <v>126881581.42029749</v>
      </c>
      <c r="AA31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31">
        <f>IF(Cumulative_EVM[[#This Row],[t]]&gt;=BCP_Period,BCP_BAC,BAC)</f>
        <v>125000000</v>
      </c>
      <c r="AC31" s="1" t="e">
        <f>IF(Cumulative_EVM[[#This Row],[t]]&lt;=BCP_Period,Cumulative_EVM[[#This Row],[PV]],NA())</f>
        <v>#N/A</v>
      </c>
      <c r="AD31" s="2" t="e" cm="1">
        <f t="array" aca="1" ref="AD31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  <c r="AM31">
        <f>Actual_Duration</f>
        <v>30</v>
      </c>
      <c r="AN31" s="1">
        <f>BAC</f>
        <v>100000000</v>
      </c>
    </row>
    <row r="32" spans="1:45" x14ac:dyDescent="0.25">
      <c r="F32" s="2"/>
      <c r="G32" s="22"/>
      <c r="H32" s="2">
        <v>125000000</v>
      </c>
      <c r="I32">
        <f>IF(ROW(Cumulative_EVM[[#This Row],[t]])-ROW(Cumulative_EVM[[#Headers],[t]])-1&lt;=Actual_Duration,ROW(Cumulative_EVM[[#This Row],[t]])-ROW(Cumulative_EVM[[#Headers],[t]])-1,Actual_Duration)</f>
        <v>29</v>
      </c>
      <c r="J32" s="1" t="e">
        <f>IF(AND(Cumulative_EVM[[#This Row],[t]]=E32,Cumulative_EVM[[#This Row],[t]]&lt;=Actual_Duration),F32,NA())</f>
        <v>#N/A</v>
      </c>
      <c r="K32" s="1" cm="1">
        <f t="array" ref="K32">sigmoid(Cumulative_EVM[[#This Row],[t]]/MAX(Cumulative_EVM[t]),BAC,EV_Truncation)</f>
        <v>98521544.375600234</v>
      </c>
      <c r="L32" cm="1">
        <f t="array" ref="L32">sigmoid(Cumulative_EVM[[#This Row],[t]]/MAX(Cumulative_EVM[t]),Actual_Cost,AC_Truncation)</f>
        <v>128578377.24528812</v>
      </c>
      <c r="O32">
        <f>_xlfn.XLOOKUP(Cumulative_EVM[[#This Row],[EV]],Cumulative_EVM[PV],Cumulative_EVM[t],0,-1,1)</f>
        <v>21</v>
      </c>
      <c r="P32">
        <f>_xlfn.XLOOKUP(Cumulative_EVM[[#This Row],[EV]],Cumulative_EVM[PV],Cumulative_EVM[t],0,1,1)</f>
        <v>22</v>
      </c>
      <c r="Q32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0.22020970580581853</v>
      </c>
      <c r="R32">
        <f>Cumulative_EVM[[#This Row],[ES Month Before]]+Cumulative_EVM[[#This Row],[ES Fraction]]</f>
        <v>21.220209705805818</v>
      </c>
      <c r="S32" t="e" cm="1">
        <f t="array" ref="S32">IF(Cumulative_EVM[[#This Row],[t]:[t]]&lt;=Time__now,Cumulative_EVM[[#This Row],[t]],NA())</f>
        <v>#N/A</v>
      </c>
      <c r="T32" t="e" cm="1">
        <f t="array" ref="T32">IF(Cumulative_EVM[[#This Row],[t]:[t]]&lt;=Time__now,Cumulative_EVM[[#This Row],[PV]],NA())</f>
        <v>#N/A</v>
      </c>
      <c r="U32" t="e" cm="1">
        <f t="array" ref="U32">IF(Cumulative_EVM[[#This Row],[t]:[t]]&lt;=Time__now,Cumulative_EVM[[#This Row],[EV]],NA())</f>
        <v>#N/A</v>
      </c>
      <c r="V32" t="e" cm="1">
        <f t="array" ref="V32">IF(Cumulative_EVM[[#This Row],[t]:[t]]&lt;=Time__now,Cumulative_EVM[[#This Row],[AC]],NA())</f>
        <v>#N/A</v>
      </c>
      <c r="W32" cm="1">
        <f t="array" ref="W32">IF(Cumulative_EVM[[#This Row],[t]:[t]]&gt;=Time__now,Cumulative_EVM[[#This Row],[t]],NA())</f>
        <v>29</v>
      </c>
      <c r="X32" t="e" cm="1">
        <f t="array" ref="X32">IF(Cumulative_EVM[[#This Row],[t]:[t]]&gt;=Time__now,Cumulative_EVM[[#This Row],[PV]],NA())</f>
        <v>#N/A</v>
      </c>
      <c r="Y32" cm="1">
        <f t="array" ref="Y32">IF(Cumulative_EVM[[#This Row],[t]:[t]]&gt;=Time__now,Cumulative_EVM[[#This Row],[EV]],NA())</f>
        <v>98521544.375600234</v>
      </c>
      <c r="Z32" cm="1">
        <f t="array" ref="Z32">IF(Cumulative_EVM[[#This Row],[t]:[t]]&gt;=Time__now,Cumulative_EVM[[#This Row],[AC]],NA())</f>
        <v>128578377.24528812</v>
      </c>
      <c r="AA32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32">
        <f>IF(Cumulative_EVM[[#This Row],[t]]&gt;=BCP_Period,BCP_BAC,BAC)</f>
        <v>125000000</v>
      </c>
      <c r="AC32" s="1" t="e">
        <f>IF(Cumulative_EVM[[#This Row],[t]]&lt;=BCP_Period,Cumulative_EVM[[#This Row],[PV]],NA())</f>
        <v>#N/A</v>
      </c>
      <c r="AD32" s="2" t="e" cm="1">
        <f t="array" aca="1" ref="AD32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</row>
    <row r="33" spans="6:30" x14ac:dyDescent="0.25">
      <c r="F33" s="2"/>
      <c r="G33" s="22"/>
      <c r="H33" s="2">
        <v>125000000</v>
      </c>
      <c r="I33">
        <f>IF(ROW(Cumulative_EVM[[#This Row],[t]])-ROW(Cumulative_EVM[[#Headers],[t]])-1&lt;=Actual_Duration,ROW(Cumulative_EVM[[#This Row],[t]])-ROW(Cumulative_EVM[[#Headers],[t]])-1,Actual_Duration)</f>
        <v>30</v>
      </c>
      <c r="J33" s="1" t="e">
        <f>IF(AND(Cumulative_EVM[[#This Row],[t]]=E33,Cumulative_EVM[[#This Row],[t]]&lt;=Actual_Duration),F33,NA())</f>
        <v>#N/A</v>
      </c>
      <c r="K33" s="1" cm="1">
        <f t="array" ref="K33">sigmoid(Cumulative_EVM[[#This Row],[t]]/MAX(Cumulative_EVM[t]),BAC,EV_Truncation)</f>
        <v>100000000.00000001</v>
      </c>
      <c r="L33" cm="1">
        <f t="array" ref="L33">sigmoid(Cumulative_EVM[[#This Row],[t]]/MAX(Cumulative_EVM[t]),Actual_Cost,AC_Truncation)</f>
        <v>130000000</v>
      </c>
      <c r="O33">
        <f>_xlfn.XLOOKUP(Cumulative_EVM[[#This Row],[EV]],Cumulative_EVM[PV],Cumulative_EVM[t],0,-1,1)</f>
        <v>24</v>
      </c>
      <c r="P33">
        <f>_xlfn.XLOOKUP(Cumulative_EVM[[#This Row],[EV]],Cumulative_EVM[PV],Cumulative_EVM[t],0,1,1)</f>
        <v>25</v>
      </c>
      <c r="Q33">
        <f>IFERROR((Cumulative_EVM[[#This Row],[EV]]-_xlfn.XLOOKUP(Cumulative_EVM[[#This Row],[ES Month Before]],Cumulative_EVM[t],Cumulative_EVM[PV]))/(_xlfn.XLOOKUP(Cumulative_EVM[[#This Row],[ES Month After]],Cumulative_EVM[t],Cumulative_EVM[PV])-_xlfn.XLOOKUP(Cumulative_EVM[[#This Row],[ES Month Before]],Cumulative_EVM[t],Cumulative_EVM[PV])),0)</f>
        <v>0</v>
      </c>
      <c r="R33">
        <f>Cumulative_EVM[[#This Row],[ES Month Before]]+Cumulative_EVM[[#This Row],[ES Fraction]]</f>
        <v>24</v>
      </c>
      <c r="S33" t="e" cm="1">
        <f t="array" ref="S33">IF(Cumulative_EVM[[#This Row],[t]:[t]]&lt;=Time__now,Cumulative_EVM[[#This Row],[t]],NA())</f>
        <v>#N/A</v>
      </c>
      <c r="T33" t="e" cm="1">
        <f t="array" ref="T33">IF(Cumulative_EVM[[#This Row],[t]:[t]]&lt;=Time__now,Cumulative_EVM[[#This Row],[PV]],NA())</f>
        <v>#N/A</v>
      </c>
      <c r="U33" t="e" cm="1">
        <f t="array" ref="U33">IF(Cumulative_EVM[[#This Row],[t]:[t]]&lt;=Time__now,Cumulative_EVM[[#This Row],[EV]],NA())</f>
        <v>#N/A</v>
      </c>
      <c r="V33" t="e" cm="1">
        <f t="array" ref="V33">IF(Cumulative_EVM[[#This Row],[t]:[t]]&lt;=Time__now,Cumulative_EVM[[#This Row],[AC]],NA())</f>
        <v>#N/A</v>
      </c>
      <c r="W33" cm="1">
        <f t="array" ref="W33">IF(Cumulative_EVM[[#This Row],[t]:[t]]&gt;=Time__now,Cumulative_EVM[[#This Row],[t]],NA())</f>
        <v>30</v>
      </c>
      <c r="X33" t="e" cm="1">
        <f t="array" ref="X33">IF(Cumulative_EVM[[#This Row],[t]:[t]]&gt;=Time__now,Cumulative_EVM[[#This Row],[PV]],NA())</f>
        <v>#N/A</v>
      </c>
      <c r="Y33" cm="1">
        <f t="array" ref="Y33">IF(Cumulative_EVM[[#This Row],[t]:[t]]&gt;=Time__now,Cumulative_EVM[[#This Row],[EV]],NA())</f>
        <v>100000000.00000001</v>
      </c>
      <c r="Z33" cm="1">
        <f t="array" ref="Z33">IF(Cumulative_EVM[[#This Row],[t]:[t]]&gt;=Time__now,Cumulative_EVM[[#This Row],[AC]],NA())</f>
        <v>130000000</v>
      </c>
      <c r="AA33" t="e">
        <f ca="1">_xlfn.LET(
    _xlpm.t, Cumulative_EVM[[#This Row],[t]],
    _xlpm.bcpDate, BCP_Period,
    _xlpm.finishDate, MAX(t_rebaselined),
    IF(
        AND(_xlpm.t&gt;=_xlpm.bcpDate,_xlpm.t&lt;=_xlpm.finishDate),
        _xlpm.t,
        NA()
    )
)</f>
        <v>#N/A</v>
      </c>
      <c r="AB33">
        <f>IF(Cumulative_EVM[[#This Row],[t]]&gt;=BCP_Period,BCP_BAC,BAC)</f>
        <v>125000000</v>
      </c>
      <c r="AC33" s="1" t="e">
        <f>IF(Cumulative_EVM[[#This Row],[t]]&lt;=BCP_Period,Cumulative_EVM[[#This Row],[PV]],NA())</f>
        <v>#N/A</v>
      </c>
      <c r="AD33" s="2" t="e" cm="1">
        <f t="array" aca="1" ref="AD33" ca="1">_xlfn.LET(_xlpm.t,Cumulative_EVM[[#This Row],[BCP t]],_xlpm.bcpDate,BCP_Period,_xlpm.finishDate,MAX(t_rebaselined),_xlpm.acAtBCP,_xlfn.XLOOKUP(_xlpm.bcpDate,Cumulative_EVM[t],Cumulative_EVM[AC],,-1),_xlpm.evAtBCP,_xlfn.XLOOKUP(_xlpm.bcpDate,Cumulative_EVM[t],Cumulative_EVM[EV],,-1),_xlpm.startPct,MAX(0,MIN(1,_xlpm.evAtBCP/BAC)),_xlpm.elapsedPct,MAX(0,MIN(1,(_xlpm.t-_xlpm.bcpDate)/(_xlpm.finishDate-_xlpm.bcpDate))),_xlpm.curvePct,_xlpm.startPct+(1-_xlpm.startPct)*_xlpm.elapsedPct,_xlpm.sigmaStart,sigmoid(_xlpm.startPct,1,PV_Truncation),_xlpm.sigmaCurrent,sigmoid(_xlpm.curvePct,1,PV_Truncation),_xlpm.normalizedSigma,(_xlpm.sigmaCurrent-_xlpm.sigmaStart)/(1-_xlpm.sigmaStart),IF(OR(_xlpm.t&lt;_xlpm.bcpDate,_xlpm.t&gt;_xlpm.finishDate),NA(),_xlpm.acAtBCP+(BCP_BAC-_xlpm.acAtBCP)*_xlpm.normalizedSigma))</f>
        <v>#N/A</v>
      </c>
    </row>
    <row r="34" spans="6:30" x14ac:dyDescent="0.25">
      <c r="F34" s="2"/>
      <c r="G34" s="2"/>
      <c r="H34" s="2"/>
    </row>
    <row r="35" spans="6:30" x14ac:dyDescent="0.25">
      <c r="F35" s="2"/>
      <c r="G35" s="2"/>
      <c r="H35" s="2"/>
    </row>
    <row r="36" spans="6:30" x14ac:dyDescent="0.25">
      <c r="F36" s="2"/>
      <c r="G36" s="2"/>
      <c r="H36" s="2"/>
    </row>
    <row r="37" spans="6:30" x14ac:dyDescent="0.25">
      <c r="F37" s="2"/>
      <c r="G37" s="2"/>
      <c r="H37" s="2"/>
    </row>
    <row r="38" spans="6:30" x14ac:dyDescent="0.25">
      <c r="F38" s="2"/>
      <c r="G38" s="2"/>
      <c r="H38" s="2"/>
    </row>
    <row r="39" spans="6:30" x14ac:dyDescent="0.25">
      <c r="F39" s="2"/>
      <c r="G39" s="2"/>
      <c r="H39" s="2"/>
    </row>
    <row r="40" spans="6:30" x14ac:dyDescent="0.25">
      <c r="F40" s="2"/>
      <c r="G40" s="2"/>
      <c r="H40" s="2"/>
    </row>
    <row r="41" spans="6:30" x14ac:dyDescent="0.25">
      <c r="F41" s="2"/>
      <c r="G41" s="2"/>
      <c r="H41" s="2"/>
    </row>
    <row r="42" spans="6:30" x14ac:dyDescent="0.25">
      <c r="F42" s="2"/>
      <c r="G42" s="2"/>
      <c r="H42" s="2"/>
    </row>
    <row r="43" spans="6:30" x14ac:dyDescent="0.25">
      <c r="F43" s="2"/>
      <c r="G43" s="2"/>
      <c r="H43" s="2"/>
    </row>
    <row r="44" spans="6:30" x14ac:dyDescent="0.25">
      <c r="F44" s="2"/>
      <c r="G44" s="2"/>
      <c r="H44" s="2"/>
    </row>
    <row r="45" spans="6:30" x14ac:dyDescent="0.25">
      <c r="F45" s="2"/>
      <c r="G45" s="2"/>
      <c r="H45" s="2"/>
    </row>
    <row r="46" spans="6:30" x14ac:dyDescent="0.25">
      <c r="F46" s="2"/>
      <c r="G46" s="2"/>
      <c r="H46" s="2"/>
    </row>
    <row r="47" spans="6:30" x14ac:dyDescent="0.25">
      <c r="F47" s="2"/>
      <c r="G47" s="2"/>
      <c r="H47" s="2"/>
    </row>
    <row r="48" spans="6:30" x14ac:dyDescent="0.25">
      <c r="F48" s="2"/>
      <c r="G48" s="2"/>
      <c r="H48" s="2"/>
    </row>
    <row r="49" spans="6:8" x14ac:dyDescent="0.25">
      <c r="F49" s="2"/>
      <c r="G49" s="2"/>
      <c r="H49" s="2"/>
    </row>
    <row r="50" spans="6:8" x14ac:dyDescent="0.25">
      <c r="F50" s="2"/>
      <c r="G50" s="2"/>
      <c r="H50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7</vt:i4>
      </vt:variant>
      <vt:variant>
        <vt:lpstr>Named Ranges</vt:lpstr>
      </vt:variant>
      <vt:variant>
        <vt:i4>18</vt:i4>
      </vt:variant>
    </vt:vector>
  </HeadingPairs>
  <TitlesOfParts>
    <vt:vector size="26" baseType="lpstr">
      <vt:lpstr>Chart Data</vt:lpstr>
      <vt:lpstr>Program Baseline</vt:lpstr>
      <vt:lpstr>Collected Data</vt:lpstr>
      <vt:lpstr>Variances</vt:lpstr>
      <vt:lpstr>Earned Schedule</vt:lpstr>
      <vt:lpstr>Future Actuals and EV</vt:lpstr>
      <vt:lpstr>Rebaselining</vt:lpstr>
      <vt:lpstr>Complete</vt:lpstr>
      <vt:lpstr>'Chart Data'!AC_Truncation</vt:lpstr>
      <vt:lpstr>'Chart Data'!Actual_Cost</vt:lpstr>
      <vt:lpstr>'Chart Data'!Actual_Duration</vt:lpstr>
      <vt:lpstr>'Chart Data'!BAC</vt:lpstr>
      <vt:lpstr>BCP_BAC</vt:lpstr>
      <vt:lpstr>BCP_Percent</vt:lpstr>
      <vt:lpstr>BCP_Period</vt:lpstr>
      <vt:lpstr>CV_Label_Time</vt:lpstr>
      <vt:lpstr>'Chart Data'!EV_Truncation</vt:lpstr>
      <vt:lpstr>Final_CV</vt:lpstr>
      <vt:lpstr>Final_SV</vt:lpstr>
      <vt:lpstr>Jitter_Offset</vt:lpstr>
      <vt:lpstr>New_BAC</vt:lpstr>
      <vt:lpstr>'Chart Data'!Planned_Duration</vt:lpstr>
      <vt:lpstr>Post_BCP_Planned_Duration</vt:lpstr>
      <vt:lpstr>'Chart Data'!PV_Truncation</vt:lpstr>
      <vt:lpstr>SV_Label_Time</vt:lpstr>
      <vt:lpstr>Time__now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Colodner, Stephen</dc:creator>
  <cp:lastModifiedBy>Colodner, Stephen</cp:lastModifiedBy>
  <dcterms:created xsi:type="dcterms:W3CDTF">2025-01-24T15:42:41Z</dcterms:created>
  <dcterms:modified xsi:type="dcterms:W3CDTF">2026-10-15T21:55:11Z</dcterms:modified>
</cp:coreProperties>
</file>